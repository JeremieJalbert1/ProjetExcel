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érémie\ProjetExcel\"/>
    </mc:Choice>
  </mc:AlternateContent>
  <xr:revisionPtr revIDLastSave="0" documentId="13_ncr:1_{21D61A49-8315-4B2C-BFCB-0DF5AC228E3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X2" i="1" l="1"/>
  <c r="AY2" i="1"/>
  <c r="AZ2" i="1"/>
  <c r="BA2" i="1"/>
  <c r="BA3" i="1"/>
  <c r="AW2" i="1"/>
  <c r="AY3" i="1" s="1"/>
  <c r="AV2" i="1"/>
  <c r="AX3" i="1" s="1"/>
  <c r="H27" i="1"/>
  <c r="H28" i="1"/>
  <c r="H29" i="1"/>
  <c r="AP4" i="1"/>
  <c r="AQ4" i="1" s="1"/>
  <c r="AP5" i="1"/>
  <c r="AR5" i="1" s="1"/>
  <c r="AP6" i="1"/>
  <c r="AQ6" i="1" s="1"/>
  <c r="AP7" i="1"/>
  <c r="AR7" i="1" s="1"/>
  <c r="AP8" i="1"/>
  <c r="AQ8" i="1" s="1"/>
  <c r="AP9" i="1"/>
  <c r="AQ9" i="1" s="1"/>
  <c r="AP10" i="1"/>
  <c r="AQ10" i="1" s="1"/>
  <c r="AP11" i="1"/>
  <c r="AQ11" i="1" s="1"/>
  <c r="AP12" i="1"/>
  <c r="AQ12" i="1" s="1"/>
  <c r="AP13" i="1"/>
  <c r="AQ13" i="1" s="1"/>
  <c r="AP14" i="1"/>
  <c r="AR14" i="1" s="1"/>
  <c r="AP15" i="1"/>
  <c r="AR15" i="1" s="1"/>
  <c r="AP16" i="1"/>
  <c r="AQ16" i="1" s="1"/>
  <c r="AP17" i="1"/>
  <c r="AQ17" i="1" s="1"/>
  <c r="AP18" i="1"/>
  <c r="AQ18" i="1" s="1"/>
  <c r="AP19" i="1"/>
  <c r="AQ19" i="1" s="1"/>
  <c r="AP20" i="1"/>
  <c r="AQ20" i="1" s="1"/>
  <c r="AP21" i="1"/>
  <c r="AR21" i="1" s="1"/>
  <c r="AP22" i="1"/>
  <c r="AR22" i="1" s="1"/>
  <c r="AP23" i="1"/>
  <c r="AR23" i="1" s="1"/>
  <c r="AP24" i="1"/>
  <c r="AQ24" i="1" s="1"/>
  <c r="AP25" i="1"/>
  <c r="AQ25" i="1" s="1"/>
  <c r="AP3" i="1"/>
  <c r="AQ3" i="1" s="1"/>
  <c r="AJ4" i="1"/>
  <c r="AK4" i="1" s="1"/>
  <c r="AJ5" i="1"/>
  <c r="AL5" i="1" s="1"/>
  <c r="AJ6" i="1"/>
  <c r="AK6" i="1" s="1"/>
  <c r="AJ7" i="1"/>
  <c r="AL7" i="1" s="1"/>
  <c r="AJ8" i="1"/>
  <c r="AK8" i="1" s="1"/>
  <c r="AJ9" i="1"/>
  <c r="AK9" i="1" s="1"/>
  <c r="AJ10" i="1"/>
  <c r="AK10" i="1" s="1"/>
  <c r="AJ11" i="1"/>
  <c r="AL11" i="1" s="1"/>
  <c r="AJ12" i="1"/>
  <c r="AK12" i="1" s="1"/>
  <c r="AJ13" i="1"/>
  <c r="AK13" i="1" s="1"/>
  <c r="AJ14" i="1"/>
  <c r="AK14" i="1" s="1"/>
  <c r="AJ15" i="1"/>
  <c r="AL15" i="1" s="1"/>
  <c r="AJ16" i="1"/>
  <c r="AK16" i="1" s="1"/>
  <c r="AJ17" i="1"/>
  <c r="AL17" i="1" s="1"/>
  <c r="AJ18" i="1"/>
  <c r="AK18" i="1" s="1"/>
  <c r="AJ19" i="1"/>
  <c r="AL19" i="1" s="1"/>
  <c r="AJ20" i="1"/>
  <c r="AK20" i="1" s="1"/>
  <c r="AJ21" i="1"/>
  <c r="AK21" i="1" s="1"/>
  <c r="AJ22" i="1"/>
  <c r="AK22" i="1" s="1"/>
  <c r="AJ23" i="1"/>
  <c r="AL23" i="1" s="1"/>
  <c r="AJ24" i="1"/>
  <c r="AK24" i="1" s="1"/>
  <c r="AJ25" i="1"/>
  <c r="AL25" i="1" s="1"/>
  <c r="AJ3" i="1"/>
  <c r="AL3" i="1" s="1"/>
  <c r="AD4" i="1"/>
  <c r="AF4" i="1" s="1"/>
  <c r="AD5" i="1"/>
  <c r="AF5" i="1" s="1"/>
  <c r="AD6" i="1"/>
  <c r="AE6" i="1" s="1"/>
  <c r="AD7" i="1"/>
  <c r="AE7" i="1" s="1"/>
  <c r="AD8" i="1"/>
  <c r="AE8" i="1" s="1"/>
  <c r="AD9" i="1"/>
  <c r="AE9" i="1" s="1"/>
  <c r="AD10" i="1"/>
  <c r="AE10" i="1" s="1"/>
  <c r="AD11" i="1"/>
  <c r="AE11" i="1" s="1"/>
  <c r="AD12" i="1"/>
  <c r="AE12" i="1" s="1"/>
  <c r="AD13" i="1"/>
  <c r="AF13" i="1" s="1"/>
  <c r="AD14" i="1"/>
  <c r="AE14" i="1" s="1"/>
  <c r="AD15" i="1"/>
  <c r="AE15" i="1" s="1"/>
  <c r="AD16" i="1"/>
  <c r="AE16" i="1" s="1"/>
  <c r="AD17" i="1"/>
  <c r="AE17" i="1" s="1"/>
  <c r="AD18" i="1"/>
  <c r="AE18" i="1" s="1"/>
  <c r="AD19" i="1"/>
  <c r="AE19" i="1" s="1"/>
  <c r="AD20" i="1"/>
  <c r="AE20" i="1" s="1"/>
  <c r="AD21" i="1"/>
  <c r="AF21" i="1" s="1"/>
  <c r="AD22" i="1"/>
  <c r="AE22" i="1" s="1"/>
  <c r="AD23" i="1"/>
  <c r="AE23" i="1" s="1"/>
  <c r="AD24" i="1"/>
  <c r="AE24" i="1" s="1"/>
  <c r="AD25" i="1"/>
  <c r="AE25" i="1" s="1"/>
  <c r="AD3" i="1"/>
  <c r="AF3" i="1" s="1"/>
  <c r="AZ3" i="1" l="1"/>
  <c r="AR13" i="1"/>
  <c r="AK3" i="1"/>
  <c r="AE5" i="1"/>
  <c r="AR6" i="1"/>
  <c r="AL22" i="1"/>
  <c r="AE4" i="1"/>
  <c r="AK23" i="1"/>
  <c r="AL18" i="1"/>
  <c r="AF23" i="1"/>
  <c r="AL14" i="1"/>
  <c r="AF20" i="1"/>
  <c r="AK19" i="1"/>
  <c r="AL10" i="1"/>
  <c r="AF19" i="1"/>
  <c r="AQ15" i="1"/>
  <c r="AL6" i="1"/>
  <c r="AF16" i="1"/>
  <c r="AQ14" i="1"/>
  <c r="AK15" i="1"/>
  <c r="AE21" i="1"/>
  <c r="AF15" i="1"/>
  <c r="AF12" i="1"/>
  <c r="AK11" i="1"/>
  <c r="AF11" i="1"/>
  <c r="AQ5" i="1"/>
  <c r="AE13" i="1"/>
  <c r="AF8" i="1"/>
  <c r="AR20" i="1"/>
  <c r="AK7" i="1"/>
  <c r="AF7" i="1"/>
  <c r="AL21" i="1"/>
  <c r="AL13" i="1"/>
  <c r="AK5" i="1"/>
  <c r="AL20" i="1"/>
  <c r="AL12" i="1"/>
  <c r="AL4" i="1"/>
  <c r="AE3" i="1"/>
  <c r="AF18" i="1"/>
  <c r="AF10" i="1"/>
  <c r="AQ7" i="1"/>
  <c r="AR12" i="1"/>
  <c r="AF25" i="1"/>
  <c r="AF17" i="1"/>
  <c r="AF9" i="1"/>
  <c r="AL9" i="1"/>
  <c r="AQ22" i="1"/>
  <c r="AK25" i="1"/>
  <c r="AK17" i="1"/>
  <c r="AL24" i="1"/>
  <c r="AL16" i="1"/>
  <c r="AL8" i="1"/>
  <c r="AF22" i="1"/>
  <c r="AF14" i="1"/>
  <c r="AF6" i="1"/>
  <c r="AF24" i="1"/>
  <c r="AQ23" i="1"/>
  <c r="AR4" i="1"/>
  <c r="AQ21" i="1"/>
  <c r="AR19" i="1"/>
  <c r="AR11" i="1"/>
  <c r="AR3" i="1"/>
  <c r="AR18" i="1"/>
  <c r="AR10" i="1"/>
  <c r="AR25" i="1"/>
  <c r="AR17" i="1"/>
  <c r="AR9" i="1"/>
  <c r="AR24" i="1"/>
  <c r="AR8" i="1"/>
  <c r="AR16" i="1"/>
  <c r="H38" i="1"/>
  <c r="H20" i="1"/>
  <c r="H36" i="1"/>
  <c r="H37" i="1" s="1"/>
  <c r="H18" i="1"/>
  <c r="H19" i="1" s="1"/>
  <c r="AW3" i="1" s="1"/>
  <c r="BA4" i="1" s="1"/>
  <c r="AQ2" i="1"/>
  <c r="AV3" i="1" l="1"/>
  <c r="AZ4" i="1" s="1"/>
  <c r="AY4" i="1"/>
  <c r="AR2" i="1"/>
  <c r="AK2" i="1"/>
  <c r="AL2" i="1"/>
  <c r="AF2" i="1"/>
  <c r="AE2" i="1"/>
  <c r="AX4" i="1" l="1"/>
  <c r="AV4" i="1" s="1"/>
  <c r="AZ5" i="1" s="1"/>
  <c r="AW4" i="1"/>
  <c r="BA5" i="1" s="1"/>
  <c r="AY5" i="1" l="1"/>
  <c r="AX5" i="1"/>
  <c r="AV5" i="1" l="1"/>
  <c r="AZ6" i="1" s="1"/>
  <c r="AW5" i="1"/>
  <c r="BA6" i="1" s="1"/>
  <c r="AY6" i="1" l="1"/>
  <c r="AX6" i="1"/>
  <c r="AV6" i="1" s="1"/>
  <c r="AX7" i="1" s="1"/>
  <c r="AZ7" i="1" l="1"/>
  <c r="AV7" i="1"/>
  <c r="AX8" i="1" s="1"/>
  <c r="AV8" i="1" s="1"/>
  <c r="AW6" i="1"/>
  <c r="BA7" i="1" s="1"/>
  <c r="AY7" i="1" l="1"/>
  <c r="AZ8" i="1"/>
  <c r="AZ9" i="1" s="1"/>
  <c r="AW7" i="1" l="1"/>
  <c r="BA8" i="1" s="1"/>
  <c r="AX9" i="1"/>
  <c r="AV9" i="1" l="1"/>
  <c r="AZ10" i="1" s="1"/>
  <c r="AY8" i="1"/>
  <c r="AW8" i="1" l="1"/>
  <c r="BA9" i="1" s="1"/>
  <c r="AX10" i="1"/>
  <c r="AV10" i="1" s="1"/>
  <c r="AX11" i="1" s="1"/>
  <c r="AV11" i="1" s="1"/>
  <c r="AY9" i="1" l="1"/>
  <c r="AZ11" i="1"/>
  <c r="AZ12" i="1" s="1"/>
  <c r="AW9" i="1" l="1"/>
  <c r="BA10" i="1" s="1"/>
  <c r="AX12" i="1"/>
  <c r="AV12" i="1" s="1"/>
  <c r="AX13" i="1" s="1"/>
  <c r="AV13" i="1" s="1"/>
  <c r="AZ13" i="1" l="1"/>
  <c r="AY10" i="1"/>
  <c r="AZ14" i="1"/>
  <c r="AX14" i="1"/>
  <c r="AW10" i="1" l="1"/>
  <c r="BA11" i="1" s="1"/>
  <c r="AV14" i="1"/>
  <c r="AX15" i="1" s="1"/>
  <c r="AY11" i="1" l="1"/>
  <c r="AV15" i="1"/>
  <c r="AZ15" i="1"/>
  <c r="AW11" i="1" l="1"/>
  <c r="BA12" i="1" s="1"/>
  <c r="AZ16" i="1"/>
  <c r="AX16" i="1"/>
  <c r="AY12" i="1" l="1"/>
  <c r="AV16" i="1"/>
  <c r="AX17" i="1" s="1"/>
  <c r="AW12" i="1" l="1"/>
  <c r="BA13" i="1" s="1"/>
  <c r="AV17" i="1"/>
  <c r="AZ17" i="1"/>
  <c r="AZ18" i="1" l="1"/>
  <c r="AY13" i="1"/>
  <c r="AX18" i="1"/>
  <c r="AW13" i="1" l="1"/>
  <c r="BA14" i="1" s="1"/>
  <c r="AV18" i="1"/>
  <c r="AZ19" i="1" s="1"/>
  <c r="AY14" i="1" l="1"/>
  <c r="AX19" i="1"/>
  <c r="AW14" i="1" l="1"/>
  <c r="BA15" i="1" s="1"/>
  <c r="AV19" i="1"/>
  <c r="AZ20" i="1" s="1"/>
  <c r="AY15" i="1" l="1"/>
  <c r="AX20" i="1"/>
  <c r="AW15" i="1" l="1"/>
  <c r="BA16" i="1" s="1"/>
  <c r="AV20" i="1"/>
  <c r="AZ21" i="1" s="1"/>
  <c r="AY16" i="1" l="1"/>
  <c r="AX21" i="1"/>
  <c r="AW16" i="1" l="1"/>
  <c r="BA17" i="1" s="1"/>
  <c r="AV21" i="1"/>
  <c r="AZ22" i="1" s="1"/>
  <c r="AY17" i="1" l="1"/>
  <c r="AX22" i="1"/>
  <c r="AW17" i="1" l="1"/>
  <c r="BA18" i="1" s="1"/>
  <c r="AV22" i="1"/>
  <c r="AZ23" i="1" s="1"/>
  <c r="AY18" i="1" l="1"/>
  <c r="AX23" i="1"/>
  <c r="AW18" i="1" l="1"/>
  <c r="BA19" i="1" s="1"/>
  <c r="AV23" i="1"/>
  <c r="AZ24" i="1" s="1"/>
  <c r="AY19" i="1" l="1"/>
  <c r="AX24" i="1"/>
  <c r="AW19" i="1" l="1"/>
  <c r="BA20" i="1" s="1"/>
  <c r="AV24" i="1"/>
  <c r="AZ25" i="1" s="1"/>
  <c r="AY20" i="1" l="1"/>
  <c r="AX25" i="1"/>
  <c r="AW20" i="1" l="1"/>
  <c r="BA21" i="1" s="1"/>
  <c r="AV25" i="1"/>
  <c r="AZ26" i="1" s="1"/>
  <c r="AY21" i="1" l="1"/>
  <c r="AX26" i="1"/>
  <c r="AW21" i="1" l="1"/>
  <c r="BA22" i="1" s="1"/>
  <c r="AV26" i="1"/>
  <c r="AZ27" i="1" s="1"/>
  <c r="AY22" i="1" l="1"/>
  <c r="AX27" i="1"/>
  <c r="AW22" i="1" l="1"/>
  <c r="BA23" i="1" s="1"/>
  <c r="AV27" i="1"/>
  <c r="AZ28" i="1" s="1"/>
  <c r="AY23" i="1" l="1"/>
  <c r="AX28" i="1"/>
  <c r="AW23" i="1" l="1"/>
  <c r="BA24" i="1" s="1"/>
  <c r="AV28" i="1"/>
  <c r="AZ29" i="1" s="1"/>
  <c r="AY24" i="1" l="1"/>
  <c r="AX29" i="1"/>
  <c r="AW24" i="1" l="1"/>
  <c r="BA25" i="1" s="1"/>
  <c r="AV29" i="1"/>
  <c r="AZ30" i="1" s="1"/>
  <c r="AY25" i="1" l="1"/>
  <c r="AX30" i="1"/>
  <c r="AW25" i="1" l="1"/>
  <c r="BA26" i="1" s="1"/>
  <c r="AV30" i="1"/>
  <c r="AZ31" i="1" s="1"/>
  <c r="AY26" i="1" l="1"/>
  <c r="AX31" i="1"/>
  <c r="AW26" i="1" l="1"/>
  <c r="BA27" i="1" s="1"/>
  <c r="AV31" i="1"/>
  <c r="AZ32" i="1" s="1"/>
  <c r="AY27" i="1" l="1"/>
  <c r="AW27" i="1" s="1"/>
  <c r="AY28" i="1" s="1"/>
  <c r="AX32" i="1"/>
  <c r="BA28" i="1" l="1"/>
  <c r="AW28" i="1"/>
  <c r="AY29" i="1" s="1"/>
  <c r="AW29" i="1" s="1"/>
  <c r="AV32" i="1"/>
  <c r="AZ33" i="1" s="1"/>
  <c r="BA29" i="1" l="1"/>
  <c r="BA30" i="1" s="1"/>
  <c r="AX33" i="1"/>
  <c r="AY30" i="1" l="1"/>
  <c r="AV33" i="1"/>
  <c r="AZ34" i="1" s="1"/>
  <c r="AW30" i="1" l="1"/>
  <c r="BA31" i="1" s="1"/>
  <c r="AX34" i="1"/>
  <c r="AY31" i="1" l="1"/>
  <c r="AW31" i="1" s="1"/>
  <c r="AY32" i="1" s="1"/>
  <c r="AV34" i="1"/>
  <c r="AZ35" i="1" s="1"/>
  <c r="BA32" i="1" l="1"/>
  <c r="AW32" i="1"/>
  <c r="AY33" i="1" s="1"/>
  <c r="AW33" i="1" s="1"/>
  <c r="AX35" i="1"/>
  <c r="BA33" i="1" l="1"/>
  <c r="BA34" i="1" s="1"/>
  <c r="AV35" i="1"/>
  <c r="AZ36" i="1" s="1"/>
  <c r="AY34" i="1" l="1"/>
  <c r="AX36" i="1"/>
  <c r="AW34" i="1" l="1"/>
  <c r="BA35" i="1" s="1"/>
  <c r="AV36" i="1"/>
  <c r="AZ37" i="1" s="1"/>
  <c r="AY35" i="1" l="1"/>
  <c r="AW35" i="1" s="1"/>
  <c r="AY36" i="1" s="1"/>
  <c r="AW36" i="1" s="1"/>
  <c r="AX37" i="1"/>
  <c r="AV37" i="1" s="1"/>
  <c r="BA36" i="1" l="1"/>
  <c r="BA37" i="1" s="1"/>
  <c r="AY37" i="1" l="1"/>
  <c r="AW3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Jérémie</author>
  </authors>
  <commentList>
    <comment ref="C4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La </t>
        </r>
        <r>
          <rPr>
            <b/>
            <sz val="9"/>
            <color indexed="81"/>
            <rFont val="Tahoma"/>
            <family val="2"/>
          </rPr>
          <t>base de temps</t>
        </r>
        <r>
          <rPr>
            <sz val="9"/>
            <color indexed="81"/>
            <rFont val="Tahoma"/>
            <family val="2"/>
          </rPr>
          <t xml:space="preserve"> utilisé comme pas d'intégration du mouvement.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Noté</t>
        </r>
        <r>
          <rPr>
            <b/>
            <sz val="9"/>
            <color indexed="81"/>
            <rFont val="Tahoma"/>
            <family val="2"/>
          </rPr>
          <t xml:space="preserve"> t</t>
        </r>
        <r>
          <rPr>
            <sz val="9"/>
            <color indexed="81"/>
            <rFont val="Tahoma"/>
            <family val="2"/>
          </rPr>
          <t xml:space="preserve"> dans cette documentation.</t>
        </r>
      </text>
    </comment>
    <comment ref="C5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Le </t>
        </r>
        <r>
          <rPr>
            <b/>
            <sz val="9"/>
            <color indexed="81"/>
            <rFont val="Tahoma"/>
            <family val="2"/>
          </rPr>
          <t>ratio de la constante d'Aarseth</t>
        </r>
        <r>
          <rPr>
            <sz val="9"/>
            <color indexed="81"/>
            <rFont val="Tahoma"/>
            <family val="2"/>
          </rPr>
          <t xml:space="preserve"> qui permettra de calculer la constante d'Aarseth pour chacun des corps de la simulation.
Avec cette approche, chacun des corps aura sa propre valeur de constante qui sera relative à sa masse et son rayon.
Noté </t>
        </r>
        <r>
          <rPr>
            <b/>
            <sz val="9"/>
            <color indexed="81"/>
            <rFont val="Tahoma"/>
            <family val="2"/>
          </rPr>
          <t xml:space="preserve">Λ </t>
        </r>
        <r>
          <rPr>
            <sz val="9"/>
            <color indexed="81"/>
            <rFont val="Tahoma"/>
            <family val="2"/>
          </rPr>
          <t>dans cette documentation.</t>
        </r>
      </text>
    </comment>
    <comment ref="C8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La </t>
        </r>
        <r>
          <rPr>
            <b/>
            <sz val="9"/>
            <color indexed="81"/>
            <rFont val="Tahoma"/>
            <family val="2"/>
          </rPr>
          <t>masse</t>
        </r>
        <r>
          <rPr>
            <sz val="9"/>
            <color indexed="81"/>
            <rFont val="Tahoma"/>
            <family val="2"/>
          </rPr>
          <t xml:space="preserve"> du corps en mouvement.
Noté </t>
        </r>
        <r>
          <rPr>
            <b/>
            <sz val="9"/>
            <color indexed="81"/>
            <rFont val="Tahoma"/>
            <family val="2"/>
          </rPr>
          <t>m</t>
        </r>
        <r>
          <rPr>
            <sz val="9"/>
            <color indexed="81"/>
            <rFont val="Tahoma"/>
            <family val="2"/>
          </rPr>
          <t xml:space="preserve"> dans cette documentation.</t>
        </r>
      </text>
    </comment>
    <comment ref="C9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La position </t>
        </r>
        <r>
          <rPr>
            <b/>
            <sz val="9"/>
            <color indexed="81"/>
            <rFont val="Tahoma"/>
            <family val="2"/>
          </rPr>
          <t xml:space="preserve">initiale </t>
        </r>
        <r>
          <rPr>
            <sz val="9"/>
            <color indexed="81"/>
            <rFont val="Tahoma"/>
            <family val="2"/>
          </rPr>
          <t xml:space="preserve">du corps en mouvement.
Noté </t>
        </r>
        <r>
          <rPr>
            <b/>
            <sz val="9"/>
            <color indexed="81"/>
            <rFont val="Tahoma"/>
            <family val="2"/>
          </rPr>
          <t>p</t>
        </r>
        <r>
          <rPr>
            <sz val="9"/>
            <color indexed="81"/>
            <rFont val="Tahoma"/>
            <family val="2"/>
          </rPr>
          <t xml:space="preserve"> dans cette documentation.</t>
        </r>
      </text>
    </comment>
    <comment ref="C10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La </t>
        </r>
        <r>
          <rPr>
            <b/>
            <sz val="9"/>
            <color indexed="81"/>
            <rFont val="Tahoma"/>
            <family val="2"/>
          </rPr>
          <t xml:space="preserve">vitesse initiale </t>
        </r>
        <r>
          <rPr>
            <sz val="9"/>
            <color indexed="81"/>
            <rFont val="Tahoma"/>
            <family val="2"/>
          </rPr>
          <t xml:space="preserve">du corps en mouvement.
Noté </t>
        </r>
        <r>
          <rPr>
            <b/>
            <sz val="9"/>
            <color indexed="81"/>
            <rFont val="Tahoma"/>
            <family val="2"/>
          </rPr>
          <t xml:space="preserve">v </t>
        </r>
        <r>
          <rPr>
            <sz val="9"/>
            <color indexed="81"/>
            <rFont val="Tahoma"/>
            <family val="2"/>
          </rPr>
          <t>dans cette documentation.</t>
        </r>
      </text>
    </comment>
    <comment ref="C11" authorId="0" shapeId="0" xr:uid="{00000000-0006-0000-0000-000006000000}">
      <text>
        <r>
          <rPr>
            <sz val="9"/>
            <color indexed="81"/>
            <rFont val="Tahoma"/>
            <family val="2"/>
          </rPr>
          <t>L'</t>
        </r>
        <r>
          <rPr>
            <b/>
            <sz val="9"/>
            <color indexed="81"/>
            <rFont val="Tahoma"/>
            <family val="2"/>
          </rPr>
          <t>accélération initiale</t>
        </r>
        <r>
          <rPr>
            <sz val="9"/>
            <color indexed="81"/>
            <rFont val="Tahoma"/>
            <family val="2"/>
          </rPr>
          <t xml:space="preserve"> du corps en mouvement.
Noté </t>
        </r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 xml:space="preserve"> dans cette documentation.</t>
        </r>
      </text>
    </comment>
    <comment ref="C12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La </t>
        </r>
        <r>
          <rPr>
            <b/>
            <sz val="9"/>
            <color indexed="81"/>
            <rFont val="Tahoma"/>
            <family val="2"/>
          </rPr>
          <t xml:space="preserve">taille </t>
        </r>
        <r>
          <rPr>
            <sz val="9"/>
            <color indexed="81"/>
            <rFont val="Tahoma"/>
            <family val="2"/>
          </rPr>
          <t xml:space="preserve">relative du corps en mouvement (ne sert qu'à l'affichage).
Noté </t>
        </r>
        <r>
          <rPr>
            <b/>
            <sz val="9"/>
            <color indexed="81"/>
            <rFont val="Tahoma"/>
            <family val="2"/>
          </rPr>
          <t>s</t>
        </r>
        <r>
          <rPr>
            <sz val="9"/>
            <color indexed="81"/>
            <rFont val="Tahoma"/>
            <family val="2"/>
          </rPr>
          <t xml:space="preserve"> dans cette documentation.</t>
        </r>
      </text>
    </comment>
    <comment ref="C15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La </t>
        </r>
        <r>
          <rPr>
            <b/>
            <sz val="9"/>
            <color indexed="81"/>
            <rFont val="Tahoma"/>
            <family val="2"/>
          </rPr>
          <t>position initiale</t>
        </r>
        <r>
          <rPr>
            <sz val="9"/>
            <color indexed="81"/>
            <rFont val="Tahoma"/>
            <family val="2"/>
          </rPr>
          <t xml:space="preserve"> d'un corps statique.
Noté </t>
        </r>
        <r>
          <rPr>
            <b/>
            <sz val="9"/>
            <color indexed="81"/>
            <rFont val="Tahoma"/>
            <family val="2"/>
          </rPr>
          <t>q</t>
        </r>
        <r>
          <rPr>
            <sz val="9"/>
            <color indexed="81"/>
            <rFont val="Tahoma"/>
            <family val="2"/>
          </rPr>
          <t xml:space="preserve"> dans cette documentation.</t>
        </r>
      </text>
    </comment>
    <comment ref="C16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Le </t>
        </r>
        <r>
          <rPr>
            <b/>
            <sz val="9"/>
            <color indexed="81"/>
            <rFont val="Tahoma"/>
            <family val="2"/>
          </rPr>
          <t>rayon</t>
        </r>
        <r>
          <rPr>
            <sz val="9"/>
            <color indexed="81"/>
            <rFont val="Tahoma"/>
            <family val="2"/>
          </rPr>
          <t xml:space="preserve"> d'un corps statique.
Ce rayon servira à calculer le volume du corps en supposant sa forme correspondant à une sphère.
Noté </t>
        </r>
        <r>
          <rPr>
            <b/>
            <sz val="9"/>
            <color indexed="81"/>
            <rFont val="Tahoma"/>
            <family val="2"/>
          </rPr>
          <t xml:space="preserve">r </t>
        </r>
        <r>
          <rPr>
            <sz val="9"/>
            <color indexed="81"/>
            <rFont val="Tahoma"/>
            <family val="2"/>
          </rPr>
          <t>dans cette documentation.</t>
        </r>
      </text>
    </comment>
    <comment ref="C17" authorId="0" shapeId="0" xr:uid="{00000000-0006-0000-0000-00000A000000}">
      <text>
        <r>
          <rPr>
            <sz val="9"/>
            <color indexed="81"/>
            <rFont val="Tahoma"/>
            <family val="2"/>
          </rPr>
          <t xml:space="preserve">La </t>
        </r>
        <r>
          <rPr>
            <b/>
            <sz val="9"/>
            <color indexed="81"/>
            <rFont val="Tahoma"/>
            <family val="2"/>
          </rPr>
          <t>masse volumique moyenne</t>
        </r>
        <r>
          <rPr>
            <sz val="9"/>
            <color indexed="81"/>
            <rFont val="Tahoma"/>
            <family val="2"/>
          </rPr>
          <t xml:space="preserve"> d'un corps statique.
Noté </t>
        </r>
        <r>
          <rPr>
            <b/>
            <sz val="9"/>
            <color indexed="81"/>
            <rFont val="Tahoma"/>
            <family val="2"/>
          </rPr>
          <t>p</t>
        </r>
        <r>
          <rPr>
            <sz val="9"/>
            <color indexed="81"/>
            <rFont val="Tahoma"/>
            <family val="2"/>
          </rPr>
          <t xml:space="preserve"> dans cette documentation.</t>
        </r>
      </text>
    </comment>
    <comment ref="C18" authorId="0" shapeId="0" xr:uid="{00000000-0006-0000-0000-00000B000000}">
      <text>
        <r>
          <rPr>
            <sz val="9"/>
            <color indexed="81"/>
            <rFont val="Tahoma"/>
            <family val="2"/>
          </rPr>
          <t xml:space="preserve">Le </t>
        </r>
        <r>
          <rPr>
            <b/>
            <sz val="9"/>
            <color indexed="81"/>
            <rFont val="Tahoma"/>
            <family val="2"/>
          </rPr>
          <t>volume</t>
        </r>
        <r>
          <rPr>
            <sz val="9"/>
            <color indexed="81"/>
            <rFont val="Tahoma"/>
            <family val="2"/>
          </rPr>
          <t xml:space="preserve"> d'un corps statique.
Automatiquement calculé selon le rayon défini par : 
</t>
        </r>
        <r>
          <rPr>
            <i/>
            <sz val="8"/>
            <color indexed="81"/>
            <rFont val="Tahoma"/>
            <family val="2"/>
          </rPr>
          <t>v = 4/3 x π x r</t>
        </r>
        <r>
          <rPr>
            <i/>
            <vertAlign val="superscript"/>
            <sz val="8"/>
            <color indexed="81"/>
            <rFont val="Tahoma"/>
            <family val="2"/>
          </rPr>
          <t>3</t>
        </r>
      </text>
    </comment>
    <comment ref="C19" authorId="0" shapeId="0" xr:uid="{00000000-0006-0000-0000-00000C000000}">
      <text>
        <r>
          <rPr>
            <sz val="9"/>
            <color indexed="81"/>
            <rFont val="Tahoma"/>
            <family val="2"/>
          </rPr>
          <t xml:space="preserve">La </t>
        </r>
        <r>
          <rPr>
            <b/>
            <sz val="9"/>
            <color indexed="81"/>
            <rFont val="Tahoma"/>
            <family val="2"/>
          </rPr>
          <t xml:space="preserve">masse totale </t>
        </r>
        <r>
          <rPr>
            <sz val="9"/>
            <color indexed="81"/>
            <rFont val="Tahoma"/>
            <family val="2"/>
          </rPr>
          <t xml:space="preserve">d'un corps statique.
Automatiquement calculé selon la masse volumique moyenne et le volume déjà donné : 
</t>
        </r>
        <r>
          <rPr>
            <i/>
            <sz val="8"/>
            <color indexed="81"/>
            <rFont val="Tahoma"/>
            <family val="2"/>
          </rPr>
          <t>M = V x p</t>
        </r>
      </text>
    </comment>
    <comment ref="C20" authorId="0" shapeId="0" xr:uid="{00000000-0006-0000-0000-00000D000000}">
      <text>
        <r>
          <rPr>
            <sz val="9"/>
            <color indexed="81"/>
            <rFont val="Tahoma"/>
            <family val="2"/>
          </rPr>
          <t xml:space="preserve">La </t>
        </r>
        <r>
          <rPr>
            <b/>
            <sz val="9"/>
            <color indexed="81"/>
            <rFont val="Tahoma"/>
            <family val="2"/>
          </rPr>
          <t>constante d'Aarseth</t>
        </r>
        <r>
          <rPr>
            <sz val="9"/>
            <color indexed="81"/>
            <rFont val="Tahoma"/>
            <family val="2"/>
          </rPr>
          <t xml:space="preserve"> appliqué à un corps statique.
Automatiquement calculé par : 
</t>
        </r>
        <r>
          <rPr>
            <i/>
            <sz val="8"/>
            <color indexed="81"/>
            <rFont val="Tahoma"/>
            <family val="2"/>
          </rPr>
          <t>λ = r  x Λ</t>
        </r>
      </text>
    </comment>
    <comment ref="C21" authorId="0" shapeId="0" xr:uid="{00000000-0006-0000-0000-00000E000000}">
      <text>
        <r>
          <rPr>
            <sz val="9"/>
            <color indexed="81"/>
            <rFont val="Tahoma"/>
            <family val="2"/>
          </rPr>
          <t xml:space="preserve">Le </t>
        </r>
        <r>
          <rPr>
            <b/>
            <sz val="9"/>
            <color indexed="81"/>
            <rFont val="Tahoma"/>
            <family val="2"/>
          </rPr>
          <t>paramètre d'attraction/répulsion</t>
        </r>
        <r>
          <rPr>
            <sz val="9"/>
            <color indexed="81"/>
            <rFont val="Tahoma"/>
            <family val="2"/>
          </rPr>
          <t xml:space="preserve"> sert à définir </t>
        </r>
        <r>
          <rPr>
            <b/>
            <sz val="9"/>
            <color indexed="81"/>
            <rFont val="Tahoma"/>
            <family val="2"/>
          </rPr>
          <t>le sens de la force</t>
        </r>
        <r>
          <rPr>
            <sz val="9"/>
            <color indexed="81"/>
            <rFont val="Tahoma"/>
            <family val="2"/>
          </rPr>
          <t xml:space="preserve"> appliquée : force attractive ou répulsive. 
Le paramètre ω est égal à : 
</t>
        </r>
        <r>
          <rPr>
            <b/>
            <sz val="9"/>
            <color indexed="81"/>
            <rFont val="Tahoma"/>
            <family val="2"/>
          </rPr>
          <t>+1</t>
        </r>
        <r>
          <rPr>
            <sz val="9"/>
            <color indexed="81"/>
            <rFont val="Tahoma"/>
            <family val="2"/>
          </rPr>
          <t xml:space="preserve"> s'il est attractif
</t>
        </r>
        <r>
          <rPr>
            <b/>
            <sz val="9"/>
            <color indexed="81"/>
            <rFont val="Tahoma"/>
            <family val="2"/>
          </rPr>
          <t>-1</t>
        </r>
        <r>
          <rPr>
            <sz val="9"/>
            <color indexed="81"/>
            <rFont val="Tahoma"/>
            <family val="2"/>
          </rPr>
          <t xml:space="preserve"> s'il est répulsif</t>
        </r>
      </text>
    </comment>
  </commentList>
</comments>
</file>

<file path=xl/sharedStrings.xml><?xml version="1.0" encoding="utf-8"?>
<sst xmlns="http://schemas.openxmlformats.org/spreadsheetml/2006/main" count="109" uniqueCount="69">
  <si>
    <t>Paramètres généraux</t>
  </si>
  <si>
    <t>Base de temps</t>
  </si>
  <si>
    <t>Corps en mouvement</t>
  </si>
  <si>
    <t>Masse</t>
  </si>
  <si>
    <t>Position initiale</t>
  </si>
  <si>
    <t>Vitesse initiale</t>
  </si>
  <si>
    <t>Accélération initiale</t>
  </si>
  <si>
    <t>Corps 1</t>
  </si>
  <si>
    <t>Position</t>
  </si>
  <si>
    <t>Rayon</t>
  </si>
  <si>
    <t>Masse volumique moyenne</t>
  </si>
  <si>
    <t>Volume</t>
  </si>
  <si>
    <t>Masse totale</t>
  </si>
  <si>
    <t>Constante d'Aarseth</t>
  </si>
  <si>
    <t>Attraction/Répulsion</t>
  </si>
  <si>
    <t>Corps 2</t>
  </si>
  <si>
    <t>Corps 3</t>
  </si>
  <si>
    <t>t</t>
  </si>
  <si>
    <t>Ratio constante d'Aarseth</t>
  </si>
  <si>
    <t>m</t>
  </si>
  <si>
    <t>Attraction</t>
  </si>
  <si>
    <t>Corp 1</t>
  </si>
  <si>
    <t>x</t>
  </si>
  <si>
    <t>y</t>
  </si>
  <si>
    <t>Corp 2</t>
  </si>
  <si>
    <t>Corp 3</t>
  </si>
  <si>
    <t>Dimension</t>
  </si>
  <si>
    <t>Corps M</t>
  </si>
  <si>
    <t>Temps</t>
  </si>
  <si>
    <r>
      <t>P</t>
    </r>
    <r>
      <rPr>
        <sz val="10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x</t>
    </r>
  </si>
  <si>
    <r>
      <t>P</t>
    </r>
    <r>
      <rPr>
        <sz val="10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y</t>
    </r>
  </si>
  <si>
    <t>seconde</t>
  </si>
  <si>
    <t>-</t>
  </si>
  <si>
    <t>gramme</t>
  </si>
  <si>
    <t>mètre</t>
  </si>
  <si>
    <t>mètre / seconde</t>
  </si>
  <si>
    <t>s</t>
  </si>
  <si>
    <r>
      <t xml:space="preserve">p </t>
    </r>
    <r>
      <rPr>
        <vertAlign val="subscript"/>
        <sz val="11"/>
        <color theme="1"/>
        <rFont val="Calibri"/>
        <family val="2"/>
        <scheme val="minor"/>
      </rPr>
      <t>0,0</t>
    </r>
  </si>
  <si>
    <r>
      <t xml:space="preserve">v </t>
    </r>
    <r>
      <rPr>
        <vertAlign val="subscript"/>
        <sz val="11"/>
        <color theme="1"/>
        <rFont val="Calibri"/>
        <family val="2"/>
        <scheme val="minor"/>
      </rPr>
      <t>0,0</t>
    </r>
  </si>
  <si>
    <r>
      <t xml:space="preserve">a </t>
    </r>
    <r>
      <rPr>
        <vertAlign val="subscript"/>
        <sz val="11"/>
        <color theme="1"/>
        <rFont val="Calibri"/>
        <family val="2"/>
        <scheme val="minor"/>
      </rPr>
      <t>0,0</t>
    </r>
  </si>
  <si>
    <r>
      <t xml:space="preserve">q </t>
    </r>
    <r>
      <rPr>
        <vertAlign val="subscript"/>
        <sz val="11"/>
        <color theme="1"/>
        <rFont val="Calibri"/>
        <family val="2"/>
        <scheme val="minor"/>
      </rPr>
      <t>1xy</t>
    </r>
  </si>
  <si>
    <r>
      <t>r</t>
    </r>
    <r>
      <rPr>
        <vertAlign val="subscript"/>
        <sz val="11"/>
        <color theme="1"/>
        <rFont val="Calibri"/>
        <family val="2"/>
        <scheme val="minor"/>
      </rPr>
      <t>1</t>
    </r>
  </si>
  <si>
    <r>
      <t>p</t>
    </r>
    <r>
      <rPr>
        <vertAlign val="subscript"/>
        <sz val="11"/>
        <color theme="1"/>
        <rFont val="Calibri"/>
        <family val="2"/>
        <scheme val="minor"/>
      </rPr>
      <t>2</t>
    </r>
  </si>
  <si>
    <r>
      <t>V</t>
    </r>
    <r>
      <rPr>
        <vertAlign val="subscript"/>
        <sz val="11"/>
        <color theme="1"/>
        <rFont val="Calibri"/>
        <family val="2"/>
        <scheme val="minor"/>
      </rPr>
      <t>1</t>
    </r>
  </si>
  <si>
    <r>
      <t>M</t>
    </r>
    <r>
      <rPr>
        <vertAlign val="subscript"/>
        <sz val="11"/>
        <color theme="1"/>
        <rFont val="Calibri"/>
        <family val="2"/>
        <scheme val="minor"/>
      </rPr>
      <t>1</t>
    </r>
  </si>
  <si>
    <r>
      <t xml:space="preserve">q </t>
    </r>
    <r>
      <rPr>
        <vertAlign val="subscript"/>
        <sz val="11"/>
        <color theme="1"/>
        <rFont val="Calibri"/>
        <family val="2"/>
        <scheme val="minor"/>
      </rPr>
      <t>2xy</t>
    </r>
  </si>
  <si>
    <r>
      <t>r</t>
    </r>
    <r>
      <rPr>
        <vertAlign val="subscript"/>
        <sz val="11"/>
        <color theme="1"/>
        <rFont val="Calibri"/>
        <family val="2"/>
        <scheme val="minor"/>
      </rPr>
      <t>2</t>
    </r>
  </si>
  <si>
    <r>
      <t>V</t>
    </r>
    <r>
      <rPr>
        <vertAlign val="subscript"/>
        <sz val="11"/>
        <color theme="1"/>
        <rFont val="Calibri"/>
        <family val="2"/>
        <scheme val="minor"/>
      </rPr>
      <t>2</t>
    </r>
  </si>
  <si>
    <r>
      <t>M</t>
    </r>
    <r>
      <rPr>
        <vertAlign val="subscript"/>
        <sz val="11"/>
        <color theme="1"/>
        <rFont val="Calibri"/>
        <family val="2"/>
        <scheme val="minor"/>
      </rPr>
      <t>2</t>
    </r>
  </si>
  <si>
    <r>
      <t xml:space="preserve">q </t>
    </r>
    <r>
      <rPr>
        <vertAlign val="subscript"/>
        <sz val="11"/>
        <color theme="1"/>
        <rFont val="Calibri"/>
        <family val="2"/>
        <scheme val="minor"/>
      </rPr>
      <t>3xy</t>
    </r>
  </si>
  <si>
    <r>
      <t>r</t>
    </r>
    <r>
      <rPr>
        <vertAlign val="subscript"/>
        <sz val="11"/>
        <color theme="1"/>
        <rFont val="Calibri"/>
        <family val="2"/>
        <scheme val="minor"/>
      </rPr>
      <t>3</t>
    </r>
  </si>
  <si>
    <r>
      <t>p</t>
    </r>
    <r>
      <rPr>
        <vertAlign val="subscript"/>
        <sz val="11"/>
        <color theme="1"/>
        <rFont val="Calibri"/>
        <family val="2"/>
        <scheme val="minor"/>
      </rPr>
      <t>3</t>
    </r>
  </si>
  <si>
    <r>
      <t>V</t>
    </r>
    <r>
      <rPr>
        <vertAlign val="subscript"/>
        <sz val="11"/>
        <color theme="1"/>
        <rFont val="Calibri"/>
        <family val="2"/>
        <scheme val="minor"/>
      </rPr>
      <t>3</t>
    </r>
  </si>
  <si>
    <r>
      <t>M</t>
    </r>
    <r>
      <rPr>
        <vertAlign val="subscript"/>
        <sz val="11"/>
        <color theme="1"/>
        <rFont val="Calibri"/>
        <family val="2"/>
        <scheme val="minor"/>
      </rPr>
      <t>3</t>
    </r>
  </si>
  <si>
    <r>
      <t>mètre / seconde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</si>
  <si>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gramme / mètre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</si>
  <si>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mètre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</si>
  <si>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p</t>
    </r>
    <r>
      <rPr>
        <vertAlign val="subscript"/>
        <sz val="11"/>
        <color theme="1"/>
        <rFont val="Calibri"/>
        <family val="2"/>
        <scheme val="minor"/>
      </rPr>
      <t>1</t>
    </r>
  </si>
  <si>
    <t>Λ</t>
  </si>
  <si>
    <r>
      <t>λ</t>
    </r>
    <r>
      <rPr>
        <vertAlign val="subscript"/>
        <sz val="11"/>
        <color theme="1"/>
        <rFont val="Calibri"/>
        <family val="2"/>
        <scheme val="minor"/>
      </rPr>
      <t>3</t>
    </r>
  </si>
  <si>
    <r>
      <t>ω</t>
    </r>
    <r>
      <rPr>
        <vertAlign val="subscript"/>
        <sz val="11"/>
        <color theme="1"/>
        <rFont val="Calibri"/>
        <family val="2"/>
      </rPr>
      <t>3</t>
    </r>
  </si>
  <si>
    <r>
      <t>ω</t>
    </r>
    <r>
      <rPr>
        <vertAlign val="subscript"/>
        <sz val="11"/>
        <color theme="1"/>
        <rFont val="Calibri"/>
        <family val="2"/>
        <scheme val="minor"/>
      </rPr>
      <t>2</t>
    </r>
  </si>
  <si>
    <r>
      <t>λ</t>
    </r>
    <r>
      <rPr>
        <vertAlign val="subscript"/>
        <sz val="11"/>
        <color theme="1"/>
        <rFont val="Calibri"/>
        <family val="2"/>
        <scheme val="minor"/>
      </rPr>
      <t>2</t>
    </r>
  </si>
  <si>
    <r>
      <t>ω</t>
    </r>
    <r>
      <rPr>
        <vertAlign val="subscript"/>
        <sz val="11"/>
        <color theme="1"/>
        <rFont val="Calibri"/>
        <family val="2"/>
        <scheme val="minor"/>
      </rPr>
      <t>1</t>
    </r>
  </si>
  <si>
    <r>
      <t>λ</t>
    </r>
    <r>
      <rPr>
        <vertAlign val="subscript"/>
        <sz val="11"/>
        <color theme="1"/>
        <rFont val="Calibri"/>
        <family val="2"/>
      </rPr>
      <t>1</t>
    </r>
  </si>
  <si>
    <t>vx</t>
  </si>
  <si>
    <t>vy</t>
  </si>
  <si>
    <t>ax</t>
  </si>
  <si>
    <t>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</si>
</sst>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0"/>
      <name val="Abadi"/>
      <family val="2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color indexed="81"/>
      <name val="Tahoma"/>
      <family val="2"/>
    </font>
    <font>
      <i/>
      <vertAlign val="superscript"/>
      <sz val="8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0E6F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indexed="64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indexed="64"/>
      </bottom>
      <diagonal/>
    </border>
    <border>
      <left/>
      <right/>
      <top/>
      <bottom style="thin">
        <color theme="2" tint="-0.24994659260841701"/>
      </bottom>
      <diagonal/>
    </border>
    <border>
      <left style="dashDotDot">
        <color theme="2" tint="-9.9948118533890809E-2"/>
      </left>
      <right/>
      <top style="thin">
        <color indexed="64"/>
      </top>
      <bottom style="thin">
        <color theme="2" tint="-0.24994659260841701"/>
      </bottom>
      <diagonal/>
    </border>
    <border>
      <left style="dashDotDot">
        <color theme="2" tint="-9.9948118533890809E-2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dashDotDot">
        <color theme="2" tint="-9.9948118533890809E-2"/>
      </right>
      <top style="thin">
        <color indexed="64"/>
      </top>
      <bottom style="thin">
        <color theme="2" tint="-0.24994659260841701"/>
      </bottom>
      <diagonal/>
    </border>
    <border>
      <left/>
      <right style="dashDotDot">
        <color theme="2" tint="-9.9948118533890809E-2"/>
      </right>
      <top style="thin">
        <color theme="2" tint="-0.24994659260841701"/>
      </top>
      <bottom style="thin">
        <color theme="2" tint="-0.24994659260841701"/>
      </bottom>
      <diagonal/>
    </border>
    <border>
      <left style="dashDotDot">
        <color theme="2" tint="-0.24994659260841701"/>
      </left>
      <right style="dashDotDot">
        <color theme="2" tint="-0.24994659260841701"/>
      </right>
      <top/>
      <bottom style="thin">
        <color theme="2" tint="-0.24994659260841701"/>
      </bottom>
      <diagonal/>
    </border>
    <border>
      <left style="dashDotDot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dashDotDot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dashDotDot">
        <color theme="2" tint="-0.24994659260841701"/>
      </left>
      <right style="dashDotDot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dashDotDot">
        <color theme="2" tint="-0.24994659260841701"/>
      </left>
      <right/>
      <top/>
      <bottom style="thin">
        <color theme="2" tint="-0.24994659260841701"/>
      </bottom>
      <diagonal/>
    </border>
    <border>
      <left/>
      <right style="dashDotDot">
        <color theme="2" tint="-0.24994659260841701"/>
      </right>
      <top/>
      <bottom style="thin">
        <color theme="2" tint="-0.24994659260841701"/>
      </bottom>
      <diagonal/>
    </border>
    <border>
      <left/>
      <right style="dashDotDot">
        <color theme="2" tint="-0.24994659260841701"/>
      </right>
      <top style="thin">
        <color indexed="64"/>
      </top>
      <bottom style="thin">
        <color theme="2" tint="-0.2499465926084170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/>
    <xf numFmtId="0" fontId="0" fillId="2" borderId="0" xfId="0" applyFill="1" applyProtection="1"/>
    <xf numFmtId="0" fontId="0" fillId="11" borderId="13" xfId="0" applyFill="1" applyBorder="1" applyAlignment="1" applyProtection="1">
      <alignment horizontal="center"/>
    </xf>
    <xf numFmtId="0" fontId="0" fillId="11" borderId="11" xfId="0" applyFill="1" applyBorder="1" applyAlignment="1" applyProtection="1">
      <alignment horizontal="center"/>
    </xf>
    <xf numFmtId="0" fontId="0" fillId="11" borderId="0" xfId="0" applyFill="1" applyBorder="1" applyProtection="1"/>
    <xf numFmtId="0" fontId="0" fillId="11" borderId="0" xfId="0" applyFill="1" applyBorder="1" applyAlignment="1" applyProtection="1">
      <alignment horizontal="center"/>
    </xf>
    <xf numFmtId="0" fontId="0" fillId="6" borderId="10" xfId="0" applyFill="1" applyBorder="1" applyAlignment="1" applyProtection="1">
      <alignment horizontal="center"/>
    </xf>
    <xf numFmtId="0" fontId="0" fillId="6" borderId="14" xfId="0" applyFill="1" applyBorder="1" applyAlignment="1" applyProtection="1">
      <alignment horizontal="center"/>
    </xf>
    <xf numFmtId="0" fontId="0" fillId="6" borderId="13" xfId="0" applyFill="1" applyBorder="1" applyAlignment="1" applyProtection="1">
      <alignment horizontal="center"/>
    </xf>
    <xf numFmtId="0" fontId="0" fillId="6" borderId="11" xfId="0" applyFill="1" applyBorder="1" applyAlignment="1" applyProtection="1">
      <alignment horizontal="center"/>
    </xf>
    <xf numFmtId="0" fontId="0" fillId="6" borderId="0" xfId="0" applyFill="1" applyBorder="1" applyProtection="1"/>
    <xf numFmtId="0" fontId="0" fillId="7" borderId="8" xfId="0" applyFill="1" applyBorder="1" applyAlignment="1" applyProtection="1">
      <alignment horizontal="center"/>
    </xf>
    <xf numFmtId="0" fontId="0" fillId="7" borderId="3" xfId="0" applyFill="1" applyBorder="1" applyAlignment="1" applyProtection="1">
      <alignment horizontal="center"/>
    </xf>
    <xf numFmtId="0" fontId="0" fillId="7" borderId="9" xfId="0" applyFill="1" applyBorder="1" applyAlignment="1" applyProtection="1">
      <alignment horizontal="center"/>
    </xf>
    <xf numFmtId="0" fontId="0" fillId="7" borderId="2" xfId="0" applyFill="1" applyBorder="1" applyAlignment="1" applyProtection="1">
      <alignment horizontal="center"/>
    </xf>
    <xf numFmtId="0" fontId="0" fillId="7" borderId="0" xfId="0" applyFill="1" applyBorder="1" applyAlignment="1" applyProtection="1">
      <alignment horizontal="center"/>
    </xf>
    <xf numFmtId="0" fontId="0" fillId="7" borderId="0" xfId="0" applyFill="1" applyBorder="1" applyProtection="1"/>
    <xf numFmtId="0" fontId="0" fillId="8" borderId="10" xfId="0" applyFill="1" applyBorder="1" applyAlignment="1" applyProtection="1">
      <alignment horizontal="center"/>
    </xf>
    <xf numFmtId="0" fontId="0" fillId="8" borderId="14" xfId="0" applyFill="1" applyBorder="1" applyAlignment="1" applyProtection="1">
      <alignment horizontal="center"/>
    </xf>
    <xf numFmtId="0" fontId="0" fillId="8" borderId="13" xfId="0" applyFill="1" applyBorder="1" applyAlignment="1" applyProtection="1">
      <alignment horizontal="center"/>
    </xf>
    <xf numFmtId="0" fontId="0" fillId="8" borderId="11" xfId="0" applyFill="1" applyBorder="1" applyAlignment="1" applyProtection="1">
      <alignment horizontal="center"/>
    </xf>
    <xf numFmtId="0" fontId="0" fillId="8" borderId="0" xfId="0" applyFill="1" applyBorder="1" applyProtection="1"/>
    <xf numFmtId="0" fontId="0" fillId="8" borderId="0" xfId="0" applyFill="1" applyBorder="1" applyAlignment="1" applyProtection="1">
      <alignment horizontal="center"/>
    </xf>
    <xf numFmtId="0" fontId="0" fillId="9" borderId="10" xfId="0" applyFill="1" applyBorder="1" applyAlignment="1" applyProtection="1">
      <alignment horizontal="center"/>
    </xf>
    <xf numFmtId="0" fontId="0" fillId="9" borderId="14" xfId="0" applyFill="1" applyBorder="1" applyAlignment="1" applyProtection="1">
      <alignment horizontal="center"/>
    </xf>
    <xf numFmtId="0" fontId="0" fillId="9" borderId="13" xfId="0" applyFill="1" applyBorder="1" applyAlignment="1" applyProtection="1">
      <alignment horizontal="center"/>
    </xf>
    <xf numFmtId="0" fontId="0" fillId="9" borderId="11" xfId="0" applyFill="1" applyBorder="1" applyAlignment="1" applyProtection="1">
      <alignment horizontal="center"/>
    </xf>
    <xf numFmtId="0" fontId="0" fillId="9" borderId="0" xfId="0" applyFill="1" applyBorder="1" applyProtection="1"/>
    <xf numFmtId="0" fontId="0" fillId="9" borderId="0" xfId="0" applyFill="1" applyBorder="1" applyAlignment="1" applyProtection="1">
      <alignment horizontal="center"/>
    </xf>
    <xf numFmtId="0" fontId="0" fillId="6" borderId="11" xfId="0" applyFill="1" applyBorder="1" applyAlignment="1" applyProtection="1">
      <alignment horizontal="center"/>
      <protection locked="0"/>
    </xf>
    <xf numFmtId="0" fontId="0" fillId="6" borderId="2" xfId="0" applyFill="1" applyBorder="1" applyAlignment="1" applyProtection="1">
      <alignment horizontal="center"/>
      <protection locked="0"/>
    </xf>
    <xf numFmtId="0" fontId="0" fillId="6" borderId="12" xfId="0" applyFill="1" applyBorder="1" applyAlignment="1" applyProtection="1">
      <alignment horizontal="center"/>
      <protection locked="0"/>
    </xf>
    <xf numFmtId="0" fontId="0" fillId="7" borderId="6" xfId="0" applyFill="1" applyBorder="1" applyAlignment="1" applyProtection="1">
      <alignment horizontal="center"/>
      <protection locked="0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8" xfId="0" applyFill="1" applyBorder="1" applyAlignment="1" applyProtection="1">
      <alignment horizontal="center"/>
      <protection locked="0"/>
    </xf>
    <xf numFmtId="0" fontId="0" fillId="8" borderId="14" xfId="0" applyFill="1" applyBorder="1" applyAlignment="1" applyProtection="1">
      <alignment horizontal="center"/>
      <protection locked="0"/>
    </xf>
    <xf numFmtId="0" fontId="0" fillId="8" borderId="5" xfId="0" applyFill="1" applyBorder="1" applyAlignment="1" applyProtection="1">
      <alignment horizontal="center"/>
      <protection locked="0"/>
    </xf>
    <xf numFmtId="0" fontId="0" fillId="8" borderId="15" xfId="0" applyFill="1" applyBorder="1" applyAlignment="1" applyProtection="1">
      <alignment horizontal="center"/>
      <protection locked="0"/>
    </xf>
    <xf numFmtId="0" fontId="0" fillId="9" borderId="14" xfId="0" applyFill="1" applyBorder="1" applyAlignment="1" applyProtection="1">
      <alignment horizontal="center"/>
      <protection locked="0"/>
    </xf>
    <xf numFmtId="0" fontId="0" fillId="9" borderId="5" xfId="0" applyFill="1" applyBorder="1" applyAlignment="1" applyProtection="1">
      <alignment horizontal="center"/>
      <protection locked="0"/>
    </xf>
    <xf numFmtId="0" fontId="0" fillId="9" borderId="15" xfId="0" applyFill="1" applyBorder="1" applyAlignment="1" applyProtection="1">
      <alignment horizontal="center"/>
      <protection locked="0"/>
    </xf>
    <xf numFmtId="0" fontId="6" fillId="7" borderId="9" xfId="0" applyFont="1" applyFill="1" applyBorder="1" applyAlignment="1" applyProtection="1">
      <alignment horizontal="center"/>
    </xf>
    <xf numFmtId="0" fontId="6" fillId="9" borderId="13" xfId="0" applyFont="1" applyFill="1" applyBorder="1" applyAlignment="1" applyProtection="1">
      <alignment horizontal="center"/>
    </xf>
    <xf numFmtId="0" fontId="0" fillId="7" borderId="2" xfId="0" applyFill="1" applyBorder="1" applyProtection="1"/>
    <xf numFmtId="0" fontId="0" fillId="7" borderId="12" xfId="0" applyFill="1" applyBorder="1" applyProtection="1"/>
    <xf numFmtId="0" fontId="0" fillId="3" borderId="1" xfId="0" applyFill="1" applyBorder="1" applyAlignment="1" applyProtection="1">
      <alignment horizontal="center"/>
    </xf>
    <xf numFmtId="0" fontId="0" fillId="7" borderId="7" xfId="0" applyFill="1" applyBorder="1" applyAlignment="1" applyProtection="1">
      <alignment horizontal="center"/>
    </xf>
    <xf numFmtId="0" fontId="0" fillId="7" borderId="2" xfId="0" applyFill="1" applyBorder="1" applyAlignment="1" applyProtection="1">
      <alignment horizontal="center"/>
    </xf>
    <xf numFmtId="0" fontId="0" fillId="7" borderId="9" xfId="0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0" fillId="5" borderId="1" xfId="0" applyFill="1" applyBorder="1" applyAlignment="1" applyProtection="1">
      <alignment horizontal="center"/>
    </xf>
    <xf numFmtId="0" fontId="0" fillId="6" borderId="5" xfId="0" applyFill="1" applyBorder="1" applyProtection="1"/>
    <xf numFmtId="0" fontId="0" fillId="6" borderId="15" xfId="0" applyFill="1" applyBorder="1" applyProtection="1"/>
    <xf numFmtId="0" fontId="0" fillId="6" borderId="2" xfId="0" applyFill="1" applyBorder="1" applyProtection="1"/>
    <xf numFmtId="0" fontId="0" fillId="6" borderId="12" xfId="0" applyFill="1" applyBorder="1" applyProtection="1"/>
    <xf numFmtId="0" fontId="0" fillId="11" borderId="2" xfId="0" applyFill="1" applyBorder="1" applyProtection="1"/>
    <xf numFmtId="0" fontId="0" fillId="11" borderId="12" xfId="0" applyFill="1" applyBorder="1" applyProtection="1"/>
    <xf numFmtId="0" fontId="0" fillId="6" borderId="14" xfId="0" applyFill="1" applyBorder="1" applyAlignment="1" applyProtection="1">
      <alignment horizontal="center"/>
      <protection locked="0"/>
    </xf>
    <xf numFmtId="0" fontId="0" fillId="6" borderId="5" xfId="0" applyFill="1" applyBorder="1" applyAlignment="1" applyProtection="1">
      <alignment horizontal="center"/>
      <protection locked="0"/>
    </xf>
    <xf numFmtId="0" fontId="0" fillId="6" borderId="15" xfId="0" applyFill="1" applyBorder="1" applyAlignment="1" applyProtection="1">
      <alignment horizontal="center"/>
      <protection locked="0"/>
    </xf>
    <xf numFmtId="0" fontId="0" fillId="9" borderId="2" xfId="0" applyFill="1" applyBorder="1" applyProtection="1"/>
    <xf numFmtId="0" fontId="0" fillId="9" borderId="12" xfId="0" applyFill="1" applyBorder="1" applyProtection="1"/>
    <xf numFmtId="0" fontId="0" fillId="9" borderId="5" xfId="0" applyFill="1" applyBorder="1" applyProtection="1"/>
    <xf numFmtId="0" fontId="0" fillId="9" borderId="15" xfId="0" applyFill="1" applyBorder="1" applyProtection="1"/>
    <xf numFmtId="0" fontId="0" fillId="8" borderId="5" xfId="0" applyFill="1" applyBorder="1" applyProtection="1"/>
    <xf numFmtId="0" fontId="0" fillId="8" borderId="15" xfId="0" applyFill="1" applyBorder="1" applyProtection="1"/>
    <xf numFmtId="0" fontId="0" fillId="8" borderId="2" xfId="0" applyFill="1" applyBorder="1" applyProtection="1"/>
    <xf numFmtId="0" fontId="0" fillId="8" borderId="12" xfId="0" applyFill="1" applyBorder="1" applyProtection="1"/>
    <xf numFmtId="0" fontId="0" fillId="10" borderId="1" xfId="0" applyFill="1" applyBorder="1" applyAlignment="1" applyProtection="1">
      <alignment horizontal="center"/>
    </xf>
    <xf numFmtId="0" fontId="0" fillId="9" borderId="11" xfId="0" applyFill="1" applyBorder="1" applyAlignment="1" applyProtection="1">
      <alignment horizontal="center"/>
      <protection locked="0"/>
    </xf>
    <xf numFmtId="0" fontId="0" fillId="9" borderId="2" xfId="0" applyFill="1" applyBorder="1" applyAlignment="1" applyProtection="1">
      <alignment horizontal="center"/>
      <protection locked="0"/>
    </xf>
    <xf numFmtId="0" fontId="0" fillId="9" borderId="12" xfId="0" applyFill="1" applyBorder="1" applyAlignment="1" applyProtection="1">
      <alignment horizontal="center"/>
      <protection locked="0"/>
    </xf>
    <xf numFmtId="0" fontId="0" fillId="9" borderId="11" xfId="0" applyFill="1" applyBorder="1" applyAlignment="1" applyProtection="1">
      <alignment horizontal="center"/>
    </xf>
    <xf numFmtId="0" fontId="0" fillId="9" borderId="2" xfId="0" applyFill="1" applyBorder="1" applyAlignment="1" applyProtection="1">
      <alignment horizontal="center"/>
    </xf>
    <xf numFmtId="0" fontId="0" fillId="9" borderId="12" xfId="0" applyFill="1" applyBorder="1" applyAlignment="1" applyProtection="1">
      <alignment horizontal="center"/>
    </xf>
    <xf numFmtId="0" fontId="0" fillId="7" borderId="7" xfId="0" applyFill="1" applyBorder="1" applyAlignment="1" applyProtection="1">
      <alignment horizontal="center"/>
      <protection locked="0"/>
    </xf>
    <xf numFmtId="0" fontId="0" fillId="7" borderId="2" xfId="0" applyFill="1" applyBorder="1" applyAlignment="1" applyProtection="1">
      <alignment horizontal="center"/>
      <protection locked="0"/>
    </xf>
    <xf numFmtId="0" fontId="0" fillId="7" borderId="9" xfId="0" applyFill="1" applyBorder="1" applyAlignment="1" applyProtection="1">
      <alignment horizontal="center"/>
      <protection locked="0"/>
    </xf>
    <xf numFmtId="0" fontId="0" fillId="8" borderId="11" xfId="0" applyFill="1" applyBorder="1" applyAlignment="1" applyProtection="1">
      <alignment horizontal="center"/>
      <protection locked="0"/>
    </xf>
    <xf numFmtId="0" fontId="0" fillId="8" borderId="2" xfId="0" applyFill="1" applyBorder="1" applyAlignment="1" applyProtection="1">
      <alignment horizontal="center"/>
      <protection locked="0"/>
    </xf>
    <xf numFmtId="0" fontId="0" fillId="8" borderId="12" xfId="0" applyFill="1" applyBorder="1" applyAlignment="1" applyProtection="1">
      <alignment horizontal="center"/>
      <protection locked="0"/>
    </xf>
    <xf numFmtId="0" fontId="0" fillId="8" borderId="11" xfId="0" applyFill="1" applyBorder="1" applyAlignment="1" applyProtection="1">
      <alignment horizontal="center"/>
    </xf>
    <xf numFmtId="0" fontId="0" fillId="8" borderId="2" xfId="0" applyFill="1" applyBorder="1" applyAlignment="1" applyProtection="1">
      <alignment horizontal="center"/>
    </xf>
    <xf numFmtId="0" fontId="0" fillId="8" borderId="12" xfId="0" applyFill="1" applyBorder="1" applyAlignment="1" applyProtection="1">
      <alignment horizontal="center"/>
    </xf>
    <xf numFmtId="0" fontId="0" fillId="6" borderId="11" xfId="0" applyFill="1" applyBorder="1" applyAlignment="1" applyProtection="1">
      <alignment horizontal="center"/>
      <protection locked="0"/>
    </xf>
    <xf numFmtId="0" fontId="0" fillId="6" borderId="2" xfId="0" applyFill="1" applyBorder="1" applyAlignment="1" applyProtection="1">
      <alignment horizontal="center"/>
      <protection locked="0"/>
    </xf>
    <xf numFmtId="0" fontId="0" fillId="6" borderId="12" xfId="0" applyFill="1" applyBorder="1" applyAlignment="1" applyProtection="1">
      <alignment horizontal="center"/>
      <protection locked="0"/>
    </xf>
    <xf numFmtId="0" fontId="0" fillId="11" borderId="11" xfId="0" applyFill="1" applyBorder="1" applyAlignment="1" applyProtection="1">
      <alignment horizontal="center"/>
      <protection locked="0"/>
    </xf>
    <xf numFmtId="0" fontId="0" fillId="11" borderId="2" xfId="0" applyFill="1" applyBorder="1" applyAlignment="1" applyProtection="1">
      <alignment horizontal="center"/>
      <protection locked="0"/>
    </xf>
    <xf numFmtId="0" fontId="0" fillId="11" borderId="12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/>
    </xf>
    <xf numFmtId="0" fontId="0" fillId="6" borderId="4" xfId="0" applyFill="1" applyBorder="1" applyProtection="1"/>
    <xf numFmtId="0" fontId="0" fillId="7" borderId="3" xfId="0" applyFill="1" applyBorder="1" applyProtection="1"/>
    <xf numFmtId="0" fontId="0" fillId="7" borderId="16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818B8"/>
      <color rgb="FFE0E6F4"/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74732882991029E-2"/>
          <c:y val="1.8518518518518517E-2"/>
          <c:w val="0.9276357223269327"/>
          <c:h val="0.97095936283826589"/>
        </c:manualLayout>
      </c:layout>
      <c:scatterChart>
        <c:scatterStyle val="smoothMarker"/>
        <c:varyColors val="0"/>
        <c:ser>
          <c:idx val="0"/>
          <c:order val="0"/>
          <c:tx>
            <c:v>Corps 1</c:v>
          </c:tx>
          <c:spPr>
            <a:ln w="22225" cap="rnd">
              <a:solidFill>
                <a:schemeClr val="accent1"/>
              </a:solidFill>
              <a:round/>
            </a:ln>
            <a:effectLst>
              <a:glow rad="279400">
                <a:schemeClr val="accent1">
                  <a:lumMod val="60000"/>
                  <a:lumOff val="40000"/>
                  <a:alpha val="40000"/>
                </a:schemeClr>
              </a:glow>
            </a:effectLst>
          </c:spPr>
          <c:marker>
            <c:symbol val="none"/>
          </c:marker>
          <c:xVal>
            <c:numRef>
              <c:f>Données!$AE$2:$AE$25</c:f>
              <c:numCache>
                <c:formatCode>General</c:formatCode>
                <c:ptCount val="24"/>
                <c:pt idx="0">
                  <c:v>10000</c:v>
                </c:pt>
                <c:pt idx="1">
                  <c:v>9814.586436738995</c:v>
                </c:pt>
                <c:pt idx="2">
                  <c:v>9272.0970227324433</c:v>
                </c:pt>
                <c:pt idx="3">
                  <c:v>8412.7657160932704</c:v>
                </c:pt>
                <c:pt idx="4">
                  <c:v>7300.3251886557609</c:v>
                </c:pt>
                <c:pt idx="5">
                  <c:v>6017.2800652631695</c:v>
                </c:pt>
                <c:pt idx="6">
                  <c:v>4658.7879331766453</c:v>
                </c:pt>
                <c:pt idx="7">
                  <c:v>3325.6019391450691</c:v>
                </c:pt>
                <c:pt idx="8">
                  <c:v>2116.5983894256647</c:v>
                </c:pt>
                <c:pt idx="9">
                  <c:v>1121.4435464779003</c:v>
                </c:pt>
                <c:pt idx="10">
                  <c:v>413.94349247273567</c:v>
                </c:pt>
                <c:pt idx="11">
                  <c:v>46.570269818345878</c:v>
                </c:pt>
                <c:pt idx="12">
                  <c:v>46.570269818345878</c:v>
                </c:pt>
                <c:pt idx="13">
                  <c:v>413.94349247273385</c:v>
                </c:pt>
                <c:pt idx="14">
                  <c:v>1121.4435464779012</c:v>
                </c:pt>
                <c:pt idx="15">
                  <c:v>2116.5983894256642</c:v>
                </c:pt>
                <c:pt idx="16">
                  <c:v>3325.6019391450682</c:v>
                </c:pt>
                <c:pt idx="17">
                  <c:v>4658.7879331766435</c:v>
                </c:pt>
                <c:pt idx="18">
                  <c:v>6017.2800652631704</c:v>
                </c:pt>
                <c:pt idx="19">
                  <c:v>7300.3251886557618</c:v>
                </c:pt>
                <c:pt idx="20">
                  <c:v>8412.7657160932686</c:v>
                </c:pt>
                <c:pt idx="21">
                  <c:v>9272.0970227324397</c:v>
                </c:pt>
                <c:pt idx="22">
                  <c:v>9814.586436738995</c:v>
                </c:pt>
                <c:pt idx="23">
                  <c:v>10000</c:v>
                </c:pt>
              </c:numCache>
            </c:numRef>
          </c:xVal>
          <c:yVal>
            <c:numRef>
              <c:f>Données!$AF$2:$AF$25</c:f>
              <c:numCache>
                <c:formatCode>General</c:formatCode>
                <c:ptCount val="24"/>
                <c:pt idx="0">
                  <c:v>7500</c:v>
                </c:pt>
                <c:pt idx="1">
                  <c:v>8848.9838557851217</c:v>
                </c:pt>
                <c:pt idx="2">
                  <c:v>10097.919750177167</c:v>
                </c:pt>
                <c:pt idx="3">
                  <c:v>11154.17982139062</c:v>
                </c:pt>
                <c:pt idx="4">
                  <c:v>11939.426092011876</c:v>
                </c:pt>
                <c:pt idx="5">
                  <c:v>12395.420438411613</c:v>
                </c:pt>
                <c:pt idx="6">
                  <c:v>12488.343845952695</c:v>
                </c:pt>
                <c:pt idx="7">
                  <c:v>12211.304610594103</c:v>
                </c:pt>
                <c:pt idx="8">
                  <c:v>11584.849465052212</c:v>
                </c:pt>
                <c:pt idx="9">
                  <c:v>10655.439721630264</c:v>
                </c:pt>
                <c:pt idx="10">
                  <c:v>9492.0054492312083</c:v>
                </c:pt>
                <c:pt idx="11">
                  <c:v>8180.8332454812335</c:v>
                </c:pt>
                <c:pt idx="12">
                  <c:v>6819.1667545187684</c:v>
                </c:pt>
                <c:pt idx="13">
                  <c:v>5507.9945507687944</c:v>
                </c:pt>
                <c:pt idx="14">
                  <c:v>4344.5602783697359</c:v>
                </c:pt>
                <c:pt idx="15">
                  <c:v>3415.1505349477902</c:v>
                </c:pt>
                <c:pt idx="16">
                  <c:v>2788.6953894058979</c:v>
                </c:pt>
                <c:pt idx="17">
                  <c:v>2511.656154047304</c:v>
                </c:pt>
                <c:pt idx="18">
                  <c:v>2604.5795615883862</c:v>
                </c:pt>
                <c:pt idx="19">
                  <c:v>3060.5739079881241</c:v>
                </c:pt>
                <c:pt idx="20">
                  <c:v>3845.8201786093773</c:v>
                </c:pt>
                <c:pt idx="21">
                  <c:v>4902.0802498228277</c:v>
                </c:pt>
                <c:pt idx="22">
                  <c:v>6151.0161442148783</c:v>
                </c:pt>
                <c:pt idx="23">
                  <c:v>7499.9999999999991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7F-4F28-907C-C273A35B04BD}"/>
            </c:ext>
          </c:extLst>
        </c:ser>
        <c:ser>
          <c:idx val="1"/>
          <c:order val="1"/>
          <c:tx>
            <c:v>Corps 2</c:v>
          </c:tx>
          <c:spPr>
            <a:ln w="22225" cap="rnd">
              <a:solidFill>
                <a:schemeClr val="accent2"/>
              </a:solidFill>
              <a:round/>
            </a:ln>
            <a:effectLst>
              <a:glow rad="419100">
                <a:schemeClr val="accent2">
                  <a:lumMod val="40000"/>
                  <a:lumOff val="60000"/>
                  <a:alpha val="40000"/>
                </a:schemeClr>
              </a:glow>
            </a:effectLst>
          </c:spPr>
          <c:marker>
            <c:symbol val="none"/>
          </c:marker>
          <c:xVal>
            <c:numRef>
              <c:f>Données!$AK$2:$AK$26</c:f>
              <c:numCache>
                <c:formatCode>General</c:formatCode>
                <c:ptCount val="25"/>
                <c:pt idx="0">
                  <c:v>-16500</c:v>
                </c:pt>
                <c:pt idx="1">
                  <c:v>-16629.789494282704</c:v>
                </c:pt>
                <c:pt idx="2">
                  <c:v>-17009.532084087288</c:v>
                </c:pt>
                <c:pt idx="3">
                  <c:v>-17611.063998734709</c:v>
                </c:pt>
                <c:pt idx="4">
                  <c:v>-18389.772367940968</c:v>
                </c:pt>
                <c:pt idx="5">
                  <c:v>-19287.903954315781</c:v>
                </c:pt>
                <c:pt idx="6">
                  <c:v>-20238.848446776348</c:v>
                </c:pt>
                <c:pt idx="7">
                  <c:v>-21172.078642598452</c:v>
                </c:pt>
                <c:pt idx="8">
                  <c:v>-22018.381127402034</c:v>
                </c:pt>
                <c:pt idx="9">
                  <c:v>-22714.98951746547</c:v>
                </c:pt>
                <c:pt idx="10">
                  <c:v>-23210.239555269087</c:v>
                </c:pt>
                <c:pt idx="11">
                  <c:v>-23467.400811127158</c:v>
                </c:pt>
                <c:pt idx="12">
                  <c:v>-23467.400811127158</c:v>
                </c:pt>
                <c:pt idx="13">
                  <c:v>-23210.239555269087</c:v>
                </c:pt>
                <c:pt idx="14">
                  <c:v>-22714.98951746547</c:v>
                </c:pt>
                <c:pt idx="15">
                  <c:v>-22018.381127402034</c:v>
                </c:pt>
                <c:pt idx="16">
                  <c:v>-21172.078642598452</c:v>
                </c:pt>
                <c:pt idx="17">
                  <c:v>-20238.848446776348</c:v>
                </c:pt>
                <c:pt idx="18">
                  <c:v>-19287.903954315781</c:v>
                </c:pt>
                <c:pt idx="19">
                  <c:v>-18389.772367940968</c:v>
                </c:pt>
                <c:pt idx="20">
                  <c:v>-17611.063998734713</c:v>
                </c:pt>
                <c:pt idx="21">
                  <c:v>-17009.532084087292</c:v>
                </c:pt>
                <c:pt idx="22">
                  <c:v>-16629.789494282704</c:v>
                </c:pt>
                <c:pt idx="23">
                  <c:v>-16500</c:v>
                </c:pt>
              </c:numCache>
            </c:numRef>
          </c:xVal>
          <c:yVal>
            <c:numRef>
              <c:f>Données!$AL$2:$AL$25</c:f>
              <c:numCache>
                <c:formatCode>General</c:formatCode>
                <c:ptCount val="24"/>
                <c:pt idx="0">
                  <c:v>10000</c:v>
                </c:pt>
                <c:pt idx="1">
                  <c:v>10944.288699049584</c:v>
                </c:pt>
                <c:pt idx="2">
                  <c:v>11818.543825124018</c:v>
                </c:pt>
                <c:pt idx="3">
                  <c:v>12557.925874973434</c:v>
                </c:pt>
                <c:pt idx="4">
                  <c:v>13107.598264408312</c:v>
                </c:pt>
                <c:pt idx="5">
                  <c:v>13426.79430688813</c:v>
                </c:pt>
                <c:pt idx="6">
                  <c:v>13491.840692166887</c:v>
                </c:pt>
                <c:pt idx="7">
                  <c:v>13297.913227415873</c:v>
                </c:pt>
                <c:pt idx="8">
                  <c:v>12859.394625536548</c:v>
                </c:pt>
                <c:pt idx="9">
                  <c:v>12208.807805141185</c:v>
                </c:pt>
                <c:pt idx="10">
                  <c:v>11394.403814461846</c:v>
                </c:pt>
                <c:pt idx="11">
                  <c:v>10476.583271836864</c:v>
                </c:pt>
                <c:pt idx="12">
                  <c:v>9523.416728163138</c:v>
                </c:pt>
                <c:pt idx="13">
                  <c:v>8605.5961855381556</c:v>
                </c:pt>
                <c:pt idx="14">
                  <c:v>7791.1921948588151</c:v>
                </c:pt>
                <c:pt idx="15">
                  <c:v>7140.6053744634537</c:v>
                </c:pt>
                <c:pt idx="16">
                  <c:v>6702.086772584129</c:v>
                </c:pt>
                <c:pt idx="17">
                  <c:v>6508.1593078331134</c:v>
                </c:pt>
                <c:pt idx="18">
                  <c:v>6573.2056931118696</c:v>
                </c:pt>
                <c:pt idx="19">
                  <c:v>6892.4017355916876</c:v>
                </c:pt>
                <c:pt idx="20">
                  <c:v>7442.0741250265637</c:v>
                </c:pt>
                <c:pt idx="21">
                  <c:v>8181.4561748759797</c:v>
                </c:pt>
                <c:pt idx="22">
                  <c:v>9055.7113009504137</c:v>
                </c:pt>
                <c:pt idx="23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7F-4F28-907C-C273A35B04BD}"/>
            </c:ext>
          </c:extLst>
        </c:ser>
        <c:ser>
          <c:idx val="2"/>
          <c:order val="2"/>
          <c:tx>
            <c:v>Corp 3</c:v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>
              <a:glow rad="419100">
                <a:schemeClr val="accent6">
                  <a:lumMod val="40000"/>
                  <a:lumOff val="60000"/>
                  <a:alpha val="40000"/>
                </a:schemeClr>
              </a:glow>
            </a:effectLst>
          </c:spPr>
          <c:marker>
            <c:symbol val="none"/>
          </c:marker>
          <c:xVal>
            <c:numRef>
              <c:f>Données!$AQ$2:$AQ$25</c:f>
              <c:numCache>
                <c:formatCode>General</c:formatCode>
                <c:ptCount val="24"/>
                <c:pt idx="0">
                  <c:v>5000</c:v>
                </c:pt>
                <c:pt idx="1">
                  <c:v>4814.5864367389959</c:v>
                </c:pt>
                <c:pt idx="2">
                  <c:v>4272.0970227324433</c:v>
                </c:pt>
                <c:pt idx="3">
                  <c:v>3412.7657160932708</c:v>
                </c:pt>
                <c:pt idx="4">
                  <c:v>2300.3251886557609</c:v>
                </c:pt>
                <c:pt idx="5">
                  <c:v>1017.2800652631698</c:v>
                </c:pt>
                <c:pt idx="6">
                  <c:v>-341.21206682335441</c:v>
                </c:pt>
                <c:pt idx="7">
                  <c:v>-1674.3980608549309</c:v>
                </c:pt>
                <c:pt idx="8">
                  <c:v>-2883.4016105743353</c:v>
                </c:pt>
                <c:pt idx="9">
                  <c:v>-3878.5564535220997</c:v>
                </c:pt>
                <c:pt idx="10">
                  <c:v>-4586.0565075272643</c:v>
                </c:pt>
                <c:pt idx="11">
                  <c:v>-4953.4297301816541</c:v>
                </c:pt>
                <c:pt idx="12">
                  <c:v>-4953.4297301816541</c:v>
                </c:pt>
                <c:pt idx="13">
                  <c:v>-4586.0565075272661</c:v>
                </c:pt>
                <c:pt idx="14">
                  <c:v>-3878.5564535220988</c:v>
                </c:pt>
                <c:pt idx="15">
                  <c:v>-2883.4016105743358</c:v>
                </c:pt>
                <c:pt idx="16">
                  <c:v>-1674.3980608549318</c:v>
                </c:pt>
                <c:pt idx="17">
                  <c:v>-341.21206682335674</c:v>
                </c:pt>
                <c:pt idx="18">
                  <c:v>1017.2800652631709</c:v>
                </c:pt>
                <c:pt idx="19">
                  <c:v>2300.3251886557618</c:v>
                </c:pt>
                <c:pt idx="20">
                  <c:v>3412.7657160932677</c:v>
                </c:pt>
                <c:pt idx="21">
                  <c:v>4272.0970227324406</c:v>
                </c:pt>
                <c:pt idx="22">
                  <c:v>4814.5864367389959</c:v>
                </c:pt>
                <c:pt idx="23">
                  <c:v>5000</c:v>
                </c:pt>
              </c:numCache>
            </c:numRef>
          </c:xVal>
          <c:yVal>
            <c:numRef>
              <c:f>Données!$AR$2:$AR$25</c:f>
              <c:numCache>
                <c:formatCode>General</c:formatCode>
                <c:ptCount val="24"/>
                <c:pt idx="0">
                  <c:v>-15000</c:v>
                </c:pt>
                <c:pt idx="1">
                  <c:v>-13651.016144214878</c:v>
                </c:pt>
                <c:pt idx="2">
                  <c:v>-12402.080249822833</c:v>
                </c:pt>
                <c:pt idx="3">
                  <c:v>-11345.82017860938</c:v>
                </c:pt>
                <c:pt idx="4">
                  <c:v>-10560.573907988124</c:v>
                </c:pt>
                <c:pt idx="5">
                  <c:v>-10104.579561588387</c:v>
                </c:pt>
                <c:pt idx="6">
                  <c:v>-10011.656154047305</c:v>
                </c:pt>
                <c:pt idx="7">
                  <c:v>-10288.695389405897</c:v>
                </c:pt>
                <c:pt idx="8">
                  <c:v>-10915.150534947788</c:v>
                </c:pt>
                <c:pt idx="9">
                  <c:v>-11844.560278369736</c:v>
                </c:pt>
                <c:pt idx="10">
                  <c:v>-13007.994550768792</c:v>
                </c:pt>
                <c:pt idx="11">
                  <c:v>-14319.166754518767</c:v>
                </c:pt>
                <c:pt idx="12">
                  <c:v>-15680.833245481232</c:v>
                </c:pt>
                <c:pt idx="13">
                  <c:v>-16992.005449231205</c:v>
                </c:pt>
                <c:pt idx="14">
                  <c:v>-18155.439721630264</c:v>
                </c:pt>
                <c:pt idx="15">
                  <c:v>-19084.849465052212</c:v>
                </c:pt>
                <c:pt idx="16">
                  <c:v>-19711.304610594103</c:v>
                </c:pt>
                <c:pt idx="17">
                  <c:v>-19988.343845952695</c:v>
                </c:pt>
                <c:pt idx="18">
                  <c:v>-19895.420438411613</c:v>
                </c:pt>
                <c:pt idx="19">
                  <c:v>-19439.426092011876</c:v>
                </c:pt>
                <c:pt idx="20">
                  <c:v>-18654.179821390622</c:v>
                </c:pt>
                <c:pt idx="21">
                  <c:v>-17597.91975017717</c:v>
                </c:pt>
                <c:pt idx="22">
                  <c:v>-16348.983855785122</c:v>
                </c:pt>
                <c:pt idx="23">
                  <c:v>-15000.000000000002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7F-4F28-907C-C273A35B04BD}"/>
            </c:ext>
          </c:extLst>
        </c:ser>
        <c:ser>
          <c:idx val="3"/>
          <c:order val="3"/>
          <c:tx>
            <c:v>Corps en mouvement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Données!$AX$2:$AX$37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2079.6124233123883</c:v>
                </c:pt>
                <c:pt idx="3">
                  <c:v>9098.147922142809</c:v>
                </c:pt>
                <c:pt idx="4">
                  <c:v>16917.226284557735</c:v>
                </c:pt>
                <c:pt idx="5">
                  <c:v>4623.7621885127664</c:v>
                </c:pt>
                <c:pt idx="6">
                  <c:v>-51791.569627693796</c:v>
                </c:pt>
                <c:pt idx="7">
                  <c:v>-87854.104063118924</c:v>
                </c:pt>
                <c:pt idx="8">
                  <c:v>164611.14176589978</c:v>
                </c:pt>
                <c:pt idx="9">
                  <c:v>797171.52370654861</c:v>
                </c:pt>
                <c:pt idx="10">
                  <c:v>105508.8046190184</c:v>
                </c:pt>
                <c:pt idx="11">
                  <c:v>-5639376.3382823244</c:v>
                </c:pt>
                <c:pt idx="12">
                  <c:v>-9071859.4930331707</c:v>
                </c:pt>
                <c:pt idx="13">
                  <c:v>34987100.6638368</c:v>
                </c:pt>
                <c:pt idx="14">
                  <c:v>133955240.81437434</c:v>
                </c:pt>
                <c:pt idx="15">
                  <c:v>-148917862.30645612</c:v>
                </c:pt>
                <c:pt idx="16">
                  <c:v>-1609711142.6118002</c:v>
                </c:pt>
                <c:pt idx="17">
                  <c:v>-668207561.14512312</c:v>
                </c:pt>
                <c:pt idx="18">
                  <c:v>17819316585.595577</c:v>
                </c:pt>
                <c:pt idx="19">
                  <c:v>33684981362.872246</c:v>
                </c:pt>
                <c:pt idx="20">
                  <c:v>-182070643309.49869</c:v>
                </c:pt>
                <c:pt idx="21">
                  <c:v>-715337507405.44141</c:v>
                </c:pt>
                <c:pt idx="22">
                  <c:v>1562043867629.7368</c:v>
                </c:pt>
                <c:pt idx="23">
                  <c:v>12796899126840.898</c:v>
                </c:pt>
                <c:pt idx="24">
                  <c:v>-5940222568163.5254</c:v>
                </c:pt>
                <c:pt idx="25">
                  <c:v>-213677410574302.44</c:v>
                </c:pt>
                <c:pt idx="26">
                  <c:v>-203132917348424.56</c:v>
                </c:pt>
                <c:pt idx="27">
                  <c:v>3407859594470781</c:v>
                </c:pt>
                <c:pt idx="28">
                  <c:v>8447991791347032</c:v>
                </c:pt>
                <c:pt idx="29">
                  <c:v>-5.1280919337610368E+16</c:v>
                </c:pt>
                <c:pt idx="30">
                  <c:v>-2.3415722006371728E+17</c:v>
                </c:pt>
                <c:pt idx="31">
                  <c:v>6.8550403878394803E+17</c:v>
                </c:pt>
                <c:pt idx="32">
                  <c:v>5.7452753393161789E+18</c:v>
                </c:pt>
                <c:pt idx="33">
                  <c:v>-6.3530063153551135E+18</c:v>
                </c:pt>
                <c:pt idx="34">
                  <c:v>-1.3342459462952639E+20</c:v>
                </c:pt>
                <c:pt idx="35">
                  <c:v>-4.5596469659974205E+19</c:v>
                </c:pt>
              </c:numCache>
            </c:numRef>
          </c:xVal>
          <c:yVal>
            <c:numRef>
              <c:f>Données!$AY$2:$AY$37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1752.627196191351</c:v>
                </c:pt>
                <c:pt idx="3">
                  <c:v>7667.926617006071</c:v>
                </c:pt>
                <c:pt idx="4">
                  <c:v>14258.328624218333</c:v>
                </c:pt>
                <c:pt idx="5">
                  <c:v>3898.0500322750322</c:v>
                </c:pt>
                <c:pt idx="6">
                  <c:v>-43649.723756874293</c:v>
                </c:pt>
                <c:pt idx="7">
                  <c:v>-74048.053878412058</c:v>
                </c:pt>
                <c:pt idx="8">
                  <c:v>138726.78405858501</c:v>
                </c:pt>
                <c:pt idx="9">
                  <c:v>671873.63534810825</c:v>
                </c:pt>
                <c:pt idx="10">
                  <c:v>88999.59292071627</c:v>
                </c:pt>
                <c:pt idx="11">
                  <c:v>-4752879.8148442032</c:v>
                </c:pt>
                <c:pt idx="12">
                  <c:v>-7646389.9100295743</c:v>
                </c:pt>
                <c:pt idx="13">
                  <c:v>29486331.020303659</c:v>
                </c:pt>
                <c:pt idx="14">
                  <c:v>112902066.57582411</c:v>
                </c:pt>
                <c:pt idx="15">
                  <c:v>-125493531.55534208</c:v>
                </c:pt>
                <c:pt idx="16">
                  <c:v>-1356691545.9863808</c:v>
                </c:pt>
                <c:pt idx="17">
                  <c:v>-563363556.32870102</c:v>
                </c:pt>
                <c:pt idx="18">
                  <c:v>15018150893.989119</c:v>
                </c:pt>
                <c:pt idx="19">
                  <c:v>28392182491.148872</c:v>
                </c:pt>
                <c:pt idx="20">
                  <c:v>-153445998681.59344</c:v>
                </c:pt>
                <c:pt idx="21">
                  <c:v>-602915561199.3656</c:v>
                </c:pt>
                <c:pt idx="22">
                  <c:v>1316404719739.7905</c:v>
                </c:pt>
                <c:pt idx="23">
                  <c:v>10785535255183.977</c:v>
                </c:pt>
                <c:pt idx="24">
                  <c:v>-5004658640938.0273</c:v>
                </c:pt>
                <c:pt idx="25">
                  <c:v>-180089780022417.38</c:v>
                </c:pt>
                <c:pt idx="26">
                  <c:v>-171233246424512.44</c:v>
                </c:pt>
                <c:pt idx="27">
                  <c:v>2872140214115279.5</c:v>
                </c:pt>
                <c:pt idx="28">
                  <c:v>7120550143365005</c:v>
                </c:pt>
                <c:pt idx="29">
                  <c:v>-4.3218666025626376E+16</c:v>
                </c:pt>
                <c:pt idx="30">
                  <c:v>-1.9735761605874637E+17</c:v>
                </c:pt>
                <c:pt idx="31">
                  <c:v>5.7771118464159846E+17</c:v>
                </c:pt>
                <c:pt idx="32">
                  <c:v>4.8422759668755395E+18</c:v>
                </c:pt>
                <c:pt idx="33">
                  <c:v>-5.3534264012623626E+18</c:v>
                </c:pt>
                <c:pt idx="34">
                  <c:v>-1.1245242433476128E+20</c:v>
                </c:pt>
                <c:pt idx="35">
                  <c:v>-3.845154228861073E+19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E1-4F6F-B966-8F72D3A2D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167016"/>
        <c:axId val="923163736"/>
      </c:scatterChart>
      <c:valAx>
        <c:axId val="923167016"/>
        <c:scaling>
          <c:orientation val="minMax"/>
          <c:max val="50000"/>
          <c:min val="-500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3163736"/>
        <c:crosses val="autoZero"/>
        <c:crossBetween val="midCat"/>
      </c:valAx>
      <c:valAx>
        <c:axId val="923163736"/>
        <c:scaling>
          <c:orientation val="minMax"/>
          <c:max val="50000"/>
          <c:min val="-5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3167016"/>
        <c:crosses val="autoZero"/>
        <c:crossBetween val="midCat"/>
      </c:valAx>
      <c:spPr>
        <a:blipFill dpi="0" rotWithShape="1">
          <a:blip xmlns:r="http://schemas.openxmlformats.org/officeDocument/2006/relationships" r:embed="rId3">
            <a:alphaModFix amt="92000"/>
          </a:blip>
          <a:srcRect/>
          <a:tile tx="0" ty="0" sx="100000" sy="100000" flip="none" algn="tl"/>
        </a:blipFill>
        <a:ln>
          <a:solidFill>
            <a:schemeClr val="tx1"/>
          </a:solidFill>
        </a:ln>
        <a:effectLst>
          <a:glow>
            <a:schemeClr val="accent1"/>
          </a:glow>
        </a:effectLst>
      </c:spPr>
    </c:plotArea>
    <c:plotVisOnly val="0"/>
    <c:dispBlanksAs val="gap"/>
    <c:showDLblsOverMax val="0"/>
  </c:chart>
  <c:spPr>
    <a:solidFill>
      <a:schemeClr val="tx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9526</xdr:colOff>
      <xdr:row>1</xdr:row>
      <xdr:rowOff>180975</xdr:rowOff>
    </xdr:from>
    <xdr:to>
      <xdr:col>25</xdr:col>
      <xdr:colOff>533400</xdr:colOff>
      <xdr:row>41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78E3B3-3F3B-4FBB-BCB9-6FC97E917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1:BA1002"/>
  <sheetViews>
    <sheetView showGridLines="0" showRowColHeaders="0" tabSelected="1" workbookViewId="0">
      <selection activeCell="H16" sqref="H16:J16"/>
    </sheetView>
  </sheetViews>
  <sheetFormatPr defaultColWidth="9.140625" defaultRowHeight="15" x14ac:dyDescent="0.25"/>
  <cols>
    <col min="1" max="1" width="9.140625" style="1"/>
    <col min="2" max="2" width="0.7109375" style="1" customWidth="1"/>
    <col min="3" max="5" width="9.140625" style="1"/>
    <col min="6" max="6" width="5" style="1" customWidth="1"/>
    <col min="7" max="7" width="5.5703125" style="1" bestFit="1" customWidth="1"/>
    <col min="8" max="8" width="10.5703125" style="1" customWidth="1"/>
    <col min="9" max="9" width="0.42578125" style="1" customWidth="1"/>
    <col min="10" max="10" width="10.85546875" style="1" customWidth="1"/>
    <col min="11" max="11" width="16.7109375" style="1" bestFit="1" customWidth="1"/>
    <col min="12" max="12" width="0.7109375" style="1" customWidth="1"/>
    <col min="13" max="26" width="9.140625" style="1"/>
    <col min="27" max="27" width="9.42578125" style="1" customWidth="1"/>
    <col min="28" max="28" width="6.5703125" style="1" hidden="1" customWidth="1"/>
    <col min="29" max="29" width="3" style="1" hidden="1" customWidth="1"/>
    <col min="30" max="32" width="12" style="1" hidden="1" customWidth="1"/>
    <col min="33" max="33" width="9.140625" style="1" hidden="1" customWidth="1"/>
    <col min="34" max="34" width="6.5703125" style="1" hidden="1" customWidth="1"/>
    <col min="35" max="35" width="3" style="1" hidden="1" customWidth="1"/>
    <col min="36" max="36" width="12" style="1" hidden="1" customWidth="1"/>
    <col min="37" max="37" width="12.7109375" style="1" hidden="1" customWidth="1"/>
    <col min="38" max="38" width="12" style="1" hidden="1" customWidth="1"/>
    <col min="39" max="39" width="9.140625" style="1" hidden="1" customWidth="1"/>
    <col min="40" max="40" width="6.5703125" style="1" hidden="1" customWidth="1"/>
    <col min="41" max="41" width="3" style="1" hidden="1" customWidth="1"/>
    <col min="42" max="42" width="12" style="1" hidden="1" customWidth="1"/>
    <col min="43" max="44" width="12.7109375" style="1" hidden="1" customWidth="1"/>
    <col min="45" max="45" width="0.85546875" style="1" hidden="1" customWidth="1"/>
    <col min="46" max="46" width="8.140625" style="1" hidden="1" customWidth="1"/>
    <col min="47" max="47" width="6.85546875" style="1" hidden="1" customWidth="1"/>
    <col min="48" max="53" width="12.7109375" style="1" hidden="1" customWidth="1"/>
    <col min="54" max="16384" width="9.140625" style="1"/>
  </cols>
  <sheetData>
    <row r="1" spans="2:53" x14ac:dyDescent="0.25">
      <c r="AE1" s="1" t="s">
        <v>22</v>
      </c>
      <c r="AF1" s="1" t="s">
        <v>23</v>
      </c>
      <c r="AK1" s="1" t="s">
        <v>22</v>
      </c>
      <c r="AL1" s="1" t="s">
        <v>23</v>
      </c>
      <c r="AQ1" s="1" t="s">
        <v>22</v>
      </c>
      <c r="AR1" s="1" t="s">
        <v>23</v>
      </c>
      <c r="AU1" s="1" t="s">
        <v>28</v>
      </c>
      <c r="AV1" s="1" t="s">
        <v>67</v>
      </c>
      <c r="AW1" s="1" t="s">
        <v>68</v>
      </c>
      <c r="AX1" s="1" t="s">
        <v>29</v>
      </c>
      <c r="AY1" s="1" t="s">
        <v>30</v>
      </c>
      <c r="AZ1" s="1" t="s">
        <v>65</v>
      </c>
      <c r="BA1" s="1" t="s">
        <v>66</v>
      </c>
    </row>
    <row r="2" spans="2:53" x14ac:dyDescent="0.25">
      <c r="AB2" s="1" t="s">
        <v>21</v>
      </c>
      <c r="AC2" s="1">
        <v>1</v>
      </c>
      <c r="AD2" s="1">
        <v>0</v>
      </c>
      <c r="AE2" s="1">
        <f t="shared" ref="AE2:AE25" si="0">(COS(AD2)*$H$16)+$H$15</f>
        <v>10000</v>
      </c>
      <c r="AF2" s="1">
        <f t="shared" ref="AF2:AF25" si="1">(SIN(AD2)*$H$16)+$J$15</f>
        <v>7500</v>
      </c>
      <c r="AH2" s="1" t="s">
        <v>24</v>
      </c>
      <c r="AI2" s="1">
        <v>1</v>
      </c>
      <c r="AJ2" s="1">
        <v>0</v>
      </c>
      <c r="AK2" s="1">
        <f t="shared" ref="AK2:AK25" si="2">(COS(AJ2)*$H$25)+$H$24</f>
        <v>-16500</v>
      </c>
      <c r="AL2" s="1">
        <f t="shared" ref="AL2:AL25" si="3">(SIN(AJ2)*$H$25)+$J$24</f>
        <v>10000</v>
      </c>
      <c r="AN2" s="1" t="s">
        <v>25</v>
      </c>
      <c r="AO2" s="1">
        <v>1</v>
      </c>
      <c r="AP2" s="1">
        <v>0</v>
      </c>
      <c r="AQ2" s="1">
        <f t="shared" ref="AQ2:AQ25" si="4">(COS(AP2)*$H$34)+$H$33</f>
        <v>5000</v>
      </c>
      <c r="AR2" s="1">
        <f t="shared" ref="AR2:AR25" si="5">(SIN(AP2)*$H$34)+$J$33</f>
        <v>-15000</v>
      </c>
      <c r="AT2" s="1" t="s">
        <v>27</v>
      </c>
      <c r="AU2" s="1">
        <v>0</v>
      </c>
      <c r="AV2" s="1">
        <f>H11</f>
        <v>0</v>
      </c>
      <c r="AW2" s="1">
        <f>I11</f>
        <v>0</v>
      </c>
      <c r="AX2" s="1">
        <f>H9</f>
        <v>0</v>
      </c>
      <c r="AY2" s="1">
        <f>I9</f>
        <v>0</v>
      </c>
      <c r="AZ2" s="1">
        <f>H10</f>
        <v>0</v>
      </c>
      <c r="BA2" s="1">
        <f>I10</f>
        <v>0</v>
      </c>
    </row>
    <row r="3" spans="2:53" x14ac:dyDescent="0.25">
      <c r="B3" s="50" t="s">
        <v>0</v>
      </c>
      <c r="C3" s="50"/>
      <c r="D3" s="50"/>
      <c r="E3" s="50"/>
      <c r="F3" s="50"/>
      <c r="G3" s="50"/>
      <c r="H3" s="50"/>
      <c r="I3" s="50"/>
      <c r="J3" s="50"/>
      <c r="K3" s="50"/>
      <c r="L3" s="50"/>
      <c r="AC3" s="1">
        <v>2</v>
      </c>
      <c r="AD3" s="1">
        <f>(AC3-$AC$2)/23*(2*PI())</f>
        <v>0.27318196987737331</v>
      </c>
      <c r="AE3" s="1">
        <f t="shared" si="0"/>
        <v>9814.586436738995</v>
      </c>
      <c r="AF3" s="1">
        <f t="shared" si="1"/>
        <v>8848.9838557851217</v>
      </c>
      <c r="AI3" s="1">
        <v>2</v>
      </c>
      <c r="AJ3" s="1">
        <f>(AI3-$AC$2)/23*(2*PI())</f>
        <v>0.27318196987737331</v>
      </c>
      <c r="AK3" s="1">
        <f t="shared" si="2"/>
        <v>-16629.789494282704</v>
      </c>
      <c r="AL3" s="1">
        <f t="shared" si="3"/>
        <v>10944.288699049584</v>
      </c>
      <c r="AO3" s="1">
        <v>2</v>
      </c>
      <c r="AP3" s="1">
        <f>(AO3-$AC$2)/23*(2*PI())</f>
        <v>0.27318196987737331</v>
      </c>
      <c r="AQ3" s="1">
        <f t="shared" si="4"/>
        <v>4814.5864367389959</v>
      </c>
      <c r="AR3" s="1">
        <f t="shared" si="5"/>
        <v>-13651.016144214878</v>
      </c>
      <c r="AU3" s="1">
        <v>1</v>
      </c>
      <c r="AV3" s="1">
        <f>(H$19*(H$15-AX3)/(POWER(POWER(SQRT(POWER($H$15,2)+(POWER($J$15,2))),2)+(POWER($H$20,2)),3/2)))+($H$28*($H$24-AX3)/(POWER(POWER(SQRT(POWER($H$24,2)+(POWER($J$24,2))),2)+(POWER($H$29,2)),3/2)))+($H$37*($H$33-AX3)/(POWER(POWER(SQRT(POWER($H$33,2)+(POWER($J$33,2))),2)+(POWER($H$38,2)),3/2)))</f>
        <v>2080.6124233123883</v>
      </c>
      <c r="AW3" s="1">
        <f t="shared" ref="AW3:AW37" si="6">($H$19*($J$15-AY3)/(POWER(POWER(SQRT(POWER($H$15,2)+(POWER($J$15,2))),2)+(POWER($H$20,2)),3/2)))+($H$28*($J$24-AY3)/(POWER(POWER(SQRT(POWER($H$24,2)+(POWER($J$24,2))),2)+(POWER($H$29,2)),3/2)))+($H$37*($J$33-AY3)/(POWER(POWER(SQRT(POWER($H$33,2)+(POWER($J$33,2))),2)+(POWER($H$38,2)),3/2)))</f>
        <v>1753.627196191351</v>
      </c>
      <c r="AX3" s="1">
        <f t="shared" ref="AX3:AX37" si="7">AX2+(AZ2*AU3-AU2)+(AV2*(POWER(AU3-AU2,2)))</f>
        <v>0</v>
      </c>
      <c r="AY3" s="1">
        <f t="shared" ref="AY3:AY37" si="8">AY2+(BA2*AU3-AU2)+(AW2*(POWER(AU3-AU2,2)))</f>
        <v>0</v>
      </c>
      <c r="AZ3" s="1">
        <f t="shared" ref="AZ3:AZ37" si="9">AZ2+(AV2*(POWER(AU3-AU2,2)))</f>
        <v>0</v>
      </c>
      <c r="BA3" s="1">
        <f t="shared" ref="BA3:BA37" si="10">BA2+(AW2*(POWER(AU3-AU2,2)))</f>
        <v>0</v>
      </c>
    </row>
    <row r="4" spans="2:53" x14ac:dyDescent="0.25">
      <c r="B4" s="2"/>
      <c r="C4" s="56" t="s">
        <v>1</v>
      </c>
      <c r="D4" s="56"/>
      <c r="E4" s="56"/>
      <c r="F4" s="57"/>
      <c r="G4" s="3" t="s">
        <v>17</v>
      </c>
      <c r="H4" s="88">
        <v>0.5</v>
      </c>
      <c r="I4" s="89"/>
      <c r="J4" s="90"/>
      <c r="K4" s="4" t="s">
        <v>31</v>
      </c>
      <c r="L4" s="2"/>
      <c r="AC4" s="1">
        <v>3</v>
      </c>
      <c r="AD4" s="1">
        <f t="shared" ref="AD4:AD25" si="11">(AC4-$AC$2)/23*(2*PI())</f>
        <v>0.54636393975474662</v>
      </c>
      <c r="AE4" s="1">
        <f t="shared" si="0"/>
        <v>9272.0970227324433</v>
      </c>
      <c r="AF4" s="1">
        <f t="shared" si="1"/>
        <v>10097.919750177167</v>
      </c>
      <c r="AI4" s="1">
        <v>3</v>
      </c>
      <c r="AJ4" s="1">
        <f t="shared" ref="AJ4:AJ25" si="12">(AI4-$AC$2)/23*(2*PI())</f>
        <v>0.54636393975474662</v>
      </c>
      <c r="AK4" s="1">
        <f t="shared" si="2"/>
        <v>-17009.532084087288</v>
      </c>
      <c r="AL4" s="1">
        <f t="shared" si="3"/>
        <v>11818.543825124018</v>
      </c>
      <c r="AO4" s="1">
        <v>3</v>
      </c>
      <c r="AP4" s="1">
        <f t="shared" ref="AP4:AP25" si="13">(AO4-$AC$2)/23*(2*PI())</f>
        <v>0.54636393975474662</v>
      </c>
      <c r="AQ4" s="1">
        <f t="shared" si="4"/>
        <v>4272.0970227324433</v>
      </c>
      <c r="AR4" s="1">
        <f t="shared" si="5"/>
        <v>-12402.080249822833</v>
      </c>
      <c r="AU4" s="1">
        <v>2</v>
      </c>
      <c r="AV4" s="1">
        <f t="shared" ref="AV4:AV37" si="14">($H$19*($H$15-AX4)/(POWER(POWER(SQRT(POWER($H$15,2)+(POWER($J$15,2))),2)+(POWER($H$20,2)),3/2)))+($H$28*($H$24-AX4)/(POWER(POWER(SQRT(POWER($H$24,2)+(POWER($J$24,2))),2)+(POWER($H$29,2)),3/2)))+($H$37*($H$33-AX4)/(POWER(POWER(SQRT(POWER($H$33,2)+(POWER($J$33,2))),2)+(POWER($H$38,2)),3/2)))</f>
        <v>778.69822889325633</v>
      </c>
      <c r="AW4" s="1">
        <f t="shared" si="6"/>
        <v>656.41783224066739</v>
      </c>
      <c r="AX4" s="1">
        <f t="shared" si="7"/>
        <v>2079.6124233123883</v>
      </c>
      <c r="AY4" s="1">
        <f t="shared" si="8"/>
        <v>1752.627196191351</v>
      </c>
      <c r="AZ4" s="1">
        <f t="shared" si="9"/>
        <v>2080.6124233123883</v>
      </c>
      <c r="BA4" s="1">
        <f t="shared" si="10"/>
        <v>1753.627196191351</v>
      </c>
    </row>
    <row r="5" spans="2:53" x14ac:dyDescent="0.25">
      <c r="B5" s="2"/>
      <c r="C5" s="56" t="s">
        <v>18</v>
      </c>
      <c r="D5" s="56"/>
      <c r="E5" s="56"/>
      <c r="F5" s="57"/>
      <c r="G5" s="3" t="s">
        <v>58</v>
      </c>
      <c r="H5" s="88">
        <v>1</v>
      </c>
      <c r="I5" s="89"/>
      <c r="J5" s="90"/>
      <c r="K5" s="4" t="s">
        <v>32</v>
      </c>
      <c r="L5" s="2"/>
      <c r="AC5" s="1">
        <v>4</v>
      </c>
      <c r="AD5" s="1">
        <f t="shared" si="11"/>
        <v>0.81954590963211993</v>
      </c>
      <c r="AE5" s="1">
        <f t="shared" si="0"/>
        <v>8412.7657160932704</v>
      </c>
      <c r="AF5" s="1">
        <f t="shared" si="1"/>
        <v>11154.17982139062</v>
      </c>
      <c r="AI5" s="1">
        <v>4</v>
      </c>
      <c r="AJ5" s="1">
        <f t="shared" si="12"/>
        <v>0.81954590963211993</v>
      </c>
      <c r="AK5" s="1">
        <f t="shared" si="2"/>
        <v>-17611.063998734709</v>
      </c>
      <c r="AL5" s="1">
        <f t="shared" si="3"/>
        <v>12557.925874973434</v>
      </c>
      <c r="AO5" s="1">
        <v>4</v>
      </c>
      <c r="AP5" s="1">
        <f t="shared" si="13"/>
        <v>0.81954590963211993</v>
      </c>
      <c r="AQ5" s="1">
        <f t="shared" si="4"/>
        <v>3412.7657160932708</v>
      </c>
      <c r="AR5" s="1">
        <f t="shared" si="5"/>
        <v>-11345.82017860938</v>
      </c>
      <c r="AU5" s="1">
        <v>3</v>
      </c>
      <c r="AV5" s="1">
        <f t="shared" si="14"/>
        <v>-3615.1642464076499</v>
      </c>
      <c r="AW5" s="1">
        <f t="shared" si="6"/>
        <v>-3046.778106515811</v>
      </c>
      <c r="AX5" s="1">
        <f t="shared" si="7"/>
        <v>9098.147922142809</v>
      </c>
      <c r="AY5" s="1">
        <f t="shared" si="8"/>
        <v>7667.926617006071</v>
      </c>
      <c r="AZ5" s="1">
        <f t="shared" si="9"/>
        <v>2859.3106522056446</v>
      </c>
      <c r="BA5" s="1">
        <f t="shared" si="10"/>
        <v>2410.0450284320186</v>
      </c>
    </row>
    <row r="6" spans="2:53" ht="4.5" customHeight="1" x14ac:dyDescent="0.25">
      <c r="B6" s="2"/>
      <c r="C6" s="5"/>
      <c r="D6" s="5"/>
      <c r="E6" s="5"/>
      <c r="F6" s="5"/>
      <c r="G6" s="6"/>
      <c r="H6" s="5"/>
      <c r="I6" s="5"/>
      <c r="J6" s="5"/>
      <c r="K6" s="6"/>
      <c r="L6" s="2"/>
      <c r="AC6" s="1">
        <v>5</v>
      </c>
      <c r="AD6" s="1">
        <f t="shared" si="11"/>
        <v>1.0927278795094932</v>
      </c>
      <c r="AE6" s="1">
        <f t="shared" si="0"/>
        <v>7300.3251886557609</v>
      </c>
      <c r="AF6" s="1">
        <f t="shared" si="1"/>
        <v>11939.426092011876</v>
      </c>
      <c r="AI6" s="1">
        <v>5</v>
      </c>
      <c r="AJ6" s="1">
        <f t="shared" si="12"/>
        <v>1.0927278795094932</v>
      </c>
      <c r="AK6" s="1">
        <f t="shared" si="2"/>
        <v>-18389.772367940968</v>
      </c>
      <c r="AL6" s="1">
        <f t="shared" si="3"/>
        <v>13107.598264408312</v>
      </c>
      <c r="AO6" s="1">
        <v>5</v>
      </c>
      <c r="AP6" s="1">
        <f t="shared" si="13"/>
        <v>1.0927278795094932</v>
      </c>
      <c r="AQ6" s="1">
        <f t="shared" si="4"/>
        <v>2300.3251886557609</v>
      </c>
      <c r="AR6" s="1">
        <f t="shared" si="5"/>
        <v>-10560.573907988124</v>
      </c>
      <c r="AU6" s="1">
        <v>4</v>
      </c>
      <c r="AV6" s="1">
        <f t="shared" si="14"/>
        <v>-8510.1961250349414</v>
      </c>
      <c r="AW6" s="1">
        <f t="shared" si="6"/>
        <v>-7172.6132015243384</v>
      </c>
      <c r="AX6" s="1">
        <f t="shared" si="7"/>
        <v>16917.226284557735</v>
      </c>
      <c r="AY6" s="1">
        <f t="shared" si="8"/>
        <v>14258.328624218333</v>
      </c>
      <c r="AZ6" s="1">
        <f t="shared" si="9"/>
        <v>-755.8535942020053</v>
      </c>
      <c r="BA6" s="1">
        <f t="shared" si="10"/>
        <v>-636.73307808379241</v>
      </c>
    </row>
    <row r="7" spans="2:53" x14ac:dyDescent="0.25">
      <c r="B7" s="2"/>
      <c r="C7" s="51" t="s">
        <v>2</v>
      </c>
      <c r="D7" s="51"/>
      <c r="E7" s="51"/>
      <c r="F7" s="51"/>
      <c r="G7" s="51"/>
      <c r="H7" s="51"/>
      <c r="I7" s="51"/>
      <c r="J7" s="51"/>
      <c r="K7" s="51"/>
      <c r="L7" s="2"/>
      <c r="AC7" s="1">
        <v>6</v>
      </c>
      <c r="AD7" s="1">
        <f t="shared" si="11"/>
        <v>1.3659098493868664</v>
      </c>
      <c r="AE7" s="1">
        <f t="shared" si="0"/>
        <v>6017.2800652631695</v>
      </c>
      <c r="AF7" s="1">
        <f t="shared" si="1"/>
        <v>12395.420438411613</v>
      </c>
      <c r="AI7" s="1">
        <v>6</v>
      </c>
      <c r="AJ7" s="1">
        <f t="shared" si="12"/>
        <v>1.3659098493868664</v>
      </c>
      <c r="AK7" s="1">
        <f t="shared" si="2"/>
        <v>-19287.903954315781</v>
      </c>
      <c r="AL7" s="1">
        <f t="shared" si="3"/>
        <v>13426.79430688813</v>
      </c>
      <c r="AO7" s="1">
        <v>6</v>
      </c>
      <c r="AP7" s="1">
        <f t="shared" si="13"/>
        <v>1.3659098493868664</v>
      </c>
      <c r="AQ7" s="1">
        <f t="shared" si="4"/>
        <v>1017.2800652631698</v>
      </c>
      <c r="AR7" s="1">
        <f t="shared" si="5"/>
        <v>-10104.579561588387</v>
      </c>
      <c r="AU7" s="1">
        <v>5</v>
      </c>
      <c r="AV7" s="1">
        <f t="shared" si="14"/>
        <v>-814.03350078487654</v>
      </c>
      <c r="AW7" s="1">
        <f t="shared" si="6"/>
        <v>-686.69611150053197</v>
      </c>
      <c r="AX7" s="1">
        <f t="shared" si="7"/>
        <v>4623.7621885127664</v>
      </c>
      <c r="AY7" s="1">
        <f t="shared" si="8"/>
        <v>3898.0500322750322</v>
      </c>
      <c r="AZ7" s="1">
        <f t="shared" si="9"/>
        <v>-9266.0497192369476</v>
      </c>
      <c r="BA7" s="1">
        <f t="shared" si="10"/>
        <v>-7809.3462796081312</v>
      </c>
    </row>
    <row r="8" spans="2:53" x14ac:dyDescent="0.25">
      <c r="B8" s="2"/>
      <c r="C8" s="52" t="s">
        <v>3</v>
      </c>
      <c r="D8" s="52"/>
      <c r="E8" s="52"/>
      <c r="F8" s="53"/>
      <c r="G8" s="7" t="s">
        <v>19</v>
      </c>
      <c r="H8" s="58">
        <v>1</v>
      </c>
      <c r="I8" s="59"/>
      <c r="J8" s="60"/>
      <c r="K8" s="8" t="s">
        <v>33</v>
      </c>
      <c r="L8" s="2"/>
      <c r="AC8" s="1">
        <v>7</v>
      </c>
      <c r="AD8" s="1">
        <f t="shared" si="11"/>
        <v>1.6390918192642399</v>
      </c>
      <c r="AE8" s="1">
        <f t="shared" si="0"/>
        <v>4658.7879331766453</v>
      </c>
      <c r="AF8" s="1">
        <f t="shared" si="1"/>
        <v>12488.343845952695</v>
      </c>
      <c r="AI8" s="1">
        <v>7</v>
      </c>
      <c r="AJ8" s="1">
        <f t="shared" si="12"/>
        <v>1.6390918192642399</v>
      </c>
      <c r="AK8" s="1">
        <f t="shared" si="2"/>
        <v>-20238.848446776348</v>
      </c>
      <c r="AL8" s="1">
        <f t="shared" si="3"/>
        <v>13491.840692166887</v>
      </c>
      <c r="AO8" s="1">
        <v>7</v>
      </c>
      <c r="AP8" s="1">
        <f t="shared" si="13"/>
        <v>1.6390918192642399</v>
      </c>
      <c r="AQ8" s="1">
        <f t="shared" si="4"/>
        <v>-341.21206682335441</v>
      </c>
      <c r="AR8" s="1">
        <f t="shared" si="5"/>
        <v>-10011.656154047305</v>
      </c>
      <c r="AU8" s="1">
        <v>6</v>
      </c>
      <c r="AV8" s="1">
        <f t="shared" si="14"/>
        <v>34504.048104727648</v>
      </c>
      <c r="AW8" s="1">
        <f t="shared" si="6"/>
        <v>29079.96661622289</v>
      </c>
      <c r="AX8" s="1">
        <f t="shared" si="7"/>
        <v>-51791.569627693796</v>
      </c>
      <c r="AY8" s="1">
        <f t="shared" si="8"/>
        <v>-43649.723756874293</v>
      </c>
      <c r="AZ8" s="1">
        <f t="shared" si="9"/>
        <v>-10080.083220021825</v>
      </c>
      <c r="BA8" s="1">
        <f t="shared" si="10"/>
        <v>-8496.0423911086637</v>
      </c>
    </row>
    <row r="9" spans="2:53" ht="18" x14ac:dyDescent="0.35">
      <c r="B9" s="2"/>
      <c r="C9" s="54" t="s">
        <v>4</v>
      </c>
      <c r="D9" s="54"/>
      <c r="E9" s="54"/>
      <c r="F9" s="55"/>
      <c r="G9" s="9" t="s">
        <v>37</v>
      </c>
      <c r="H9" s="30">
        <v>0</v>
      </c>
      <c r="I9" s="31"/>
      <c r="J9" s="32">
        <v>0</v>
      </c>
      <c r="K9" s="10" t="s">
        <v>34</v>
      </c>
      <c r="L9" s="2"/>
      <c r="AC9" s="1">
        <v>8</v>
      </c>
      <c r="AD9" s="1">
        <f t="shared" si="11"/>
        <v>1.9122737891416133</v>
      </c>
      <c r="AE9" s="1">
        <f t="shared" si="0"/>
        <v>3325.6019391450691</v>
      </c>
      <c r="AF9" s="1">
        <f t="shared" si="1"/>
        <v>12211.304610594103</v>
      </c>
      <c r="AI9" s="1">
        <v>8</v>
      </c>
      <c r="AJ9" s="1">
        <f t="shared" si="12"/>
        <v>1.9122737891416133</v>
      </c>
      <c r="AK9" s="1">
        <f t="shared" si="2"/>
        <v>-21172.078642598452</v>
      </c>
      <c r="AL9" s="1">
        <f t="shared" si="3"/>
        <v>13297.913227415873</v>
      </c>
      <c r="AO9" s="1">
        <v>8</v>
      </c>
      <c r="AP9" s="1">
        <f t="shared" si="13"/>
        <v>1.9122737891416133</v>
      </c>
      <c r="AQ9" s="1">
        <f t="shared" si="4"/>
        <v>-1674.3980608549309</v>
      </c>
      <c r="AR9" s="1">
        <f t="shared" si="5"/>
        <v>-10288.695389405897</v>
      </c>
      <c r="AU9" s="1">
        <v>7</v>
      </c>
      <c r="AV9" s="1">
        <f t="shared" si="14"/>
        <v>57080.526751372134</v>
      </c>
      <c r="AW9" s="1">
        <f t="shared" si="6"/>
        <v>48110.444136083228</v>
      </c>
      <c r="AX9" s="1">
        <f t="shared" si="7"/>
        <v>-87854.104063118924</v>
      </c>
      <c r="AY9" s="1">
        <f t="shared" si="8"/>
        <v>-74048.053878412058</v>
      </c>
      <c r="AZ9" s="1">
        <f t="shared" si="9"/>
        <v>24423.964884705823</v>
      </c>
      <c r="BA9" s="1">
        <f t="shared" si="10"/>
        <v>20583.924225114228</v>
      </c>
    </row>
    <row r="10" spans="2:53" ht="18" x14ac:dyDescent="0.35">
      <c r="B10" s="2"/>
      <c r="C10" s="54" t="s">
        <v>5</v>
      </c>
      <c r="D10" s="54"/>
      <c r="E10" s="54"/>
      <c r="F10" s="55"/>
      <c r="G10" s="9" t="s">
        <v>38</v>
      </c>
      <c r="H10" s="30">
        <v>0</v>
      </c>
      <c r="I10" s="31"/>
      <c r="J10" s="32">
        <v>0</v>
      </c>
      <c r="K10" s="10" t="s">
        <v>35</v>
      </c>
      <c r="L10" s="2"/>
      <c r="AC10" s="1">
        <v>9</v>
      </c>
      <c r="AD10" s="1">
        <f t="shared" si="11"/>
        <v>2.1854557590189865</v>
      </c>
      <c r="AE10" s="1">
        <f t="shared" si="0"/>
        <v>2116.5983894256647</v>
      </c>
      <c r="AF10" s="1">
        <f t="shared" si="1"/>
        <v>11584.849465052212</v>
      </c>
      <c r="AI10" s="1">
        <v>9</v>
      </c>
      <c r="AJ10" s="1">
        <f t="shared" si="12"/>
        <v>2.1854557590189865</v>
      </c>
      <c r="AK10" s="1">
        <f t="shared" si="2"/>
        <v>-22018.381127402034</v>
      </c>
      <c r="AL10" s="1">
        <f t="shared" si="3"/>
        <v>12859.394625536548</v>
      </c>
      <c r="AO10" s="1">
        <v>9</v>
      </c>
      <c r="AP10" s="1">
        <f t="shared" si="13"/>
        <v>2.1854557590189865</v>
      </c>
      <c r="AQ10" s="1">
        <f t="shared" si="4"/>
        <v>-2883.4016105743353</v>
      </c>
      <c r="AR10" s="1">
        <f t="shared" si="5"/>
        <v>-10915.150534947788</v>
      </c>
      <c r="AU10" s="1">
        <v>8</v>
      </c>
      <c r="AV10" s="1">
        <f t="shared" si="14"/>
        <v>-100972.04278405289</v>
      </c>
      <c r="AW10" s="1">
        <f t="shared" si="6"/>
        <v>-85094.463961253728</v>
      </c>
      <c r="AX10" s="1">
        <f t="shared" si="7"/>
        <v>164611.14176589978</v>
      </c>
      <c r="AY10" s="1">
        <f t="shared" si="8"/>
        <v>138726.78405858501</v>
      </c>
      <c r="AZ10" s="1">
        <f t="shared" si="9"/>
        <v>81504.491636077961</v>
      </c>
      <c r="BA10" s="1">
        <f t="shared" si="10"/>
        <v>68694.368361197456</v>
      </c>
    </row>
    <row r="11" spans="2:53" ht="18.75" x14ac:dyDescent="0.35">
      <c r="B11" s="2"/>
      <c r="C11" s="54" t="s">
        <v>6</v>
      </c>
      <c r="D11" s="54"/>
      <c r="E11" s="54"/>
      <c r="F11" s="55"/>
      <c r="G11" s="9" t="s">
        <v>39</v>
      </c>
      <c r="H11" s="30">
        <v>0</v>
      </c>
      <c r="I11" s="31"/>
      <c r="J11" s="32">
        <v>0</v>
      </c>
      <c r="K11" s="10" t="s">
        <v>54</v>
      </c>
      <c r="L11" s="2"/>
      <c r="AC11" s="1">
        <v>10</v>
      </c>
      <c r="AD11" s="1">
        <f t="shared" si="11"/>
        <v>2.4586377288963601</v>
      </c>
      <c r="AE11" s="1">
        <f t="shared" si="0"/>
        <v>1121.4435464779003</v>
      </c>
      <c r="AF11" s="1">
        <f t="shared" si="1"/>
        <v>10655.439721630264</v>
      </c>
      <c r="AI11" s="1">
        <v>10</v>
      </c>
      <c r="AJ11" s="1">
        <f t="shared" si="12"/>
        <v>2.4586377288963601</v>
      </c>
      <c r="AK11" s="1">
        <f t="shared" si="2"/>
        <v>-22714.98951746547</v>
      </c>
      <c r="AL11" s="1">
        <f t="shared" si="3"/>
        <v>12208.807805141185</v>
      </c>
      <c r="AO11" s="1">
        <v>10</v>
      </c>
      <c r="AP11" s="1">
        <f t="shared" si="13"/>
        <v>2.4586377288963601</v>
      </c>
      <c r="AQ11" s="1">
        <f t="shared" si="4"/>
        <v>-3878.5564535220997</v>
      </c>
      <c r="AR11" s="1">
        <f t="shared" si="5"/>
        <v>-11844.560278369736</v>
      </c>
      <c r="AU11" s="1">
        <v>9</v>
      </c>
      <c r="AV11" s="1">
        <f t="shared" si="14"/>
        <v>-496978.20760778099</v>
      </c>
      <c r="AW11" s="1">
        <f t="shared" si="6"/>
        <v>-418864.08642682922</v>
      </c>
      <c r="AX11" s="1">
        <f t="shared" si="7"/>
        <v>797171.52370654861</v>
      </c>
      <c r="AY11" s="1">
        <f t="shared" si="8"/>
        <v>671873.63534810825</v>
      </c>
      <c r="AZ11" s="1">
        <f t="shared" si="9"/>
        <v>-19467.551147974926</v>
      </c>
      <c r="BA11" s="1">
        <f t="shared" si="10"/>
        <v>-16400.095600056273</v>
      </c>
    </row>
    <row r="12" spans="2:53" x14ac:dyDescent="0.25">
      <c r="B12" s="2"/>
      <c r="C12" s="54" t="s">
        <v>26</v>
      </c>
      <c r="D12" s="54"/>
      <c r="E12" s="54"/>
      <c r="F12" s="55"/>
      <c r="G12" s="9" t="s">
        <v>36</v>
      </c>
      <c r="H12" s="85">
        <v>2500</v>
      </c>
      <c r="I12" s="86"/>
      <c r="J12" s="87"/>
      <c r="K12" s="10" t="s">
        <v>34</v>
      </c>
      <c r="L12" s="2"/>
      <c r="AC12" s="1">
        <v>11</v>
      </c>
      <c r="AD12" s="1">
        <f t="shared" si="11"/>
        <v>2.7318196987737329</v>
      </c>
      <c r="AE12" s="1">
        <f t="shared" si="0"/>
        <v>413.94349247273567</v>
      </c>
      <c r="AF12" s="1">
        <f t="shared" si="1"/>
        <v>9492.0054492312083</v>
      </c>
      <c r="AI12" s="1">
        <v>11</v>
      </c>
      <c r="AJ12" s="1">
        <f t="shared" si="12"/>
        <v>2.7318196987737329</v>
      </c>
      <c r="AK12" s="1">
        <f t="shared" si="2"/>
        <v>-23210.239555269087</v>
      </c>
      <c r="AL12" s="1">
        <f t="shared" si="3"/>
        <v>11394.403814461846</v>
      </c>
      <c r="AO12" s="1">
        <v>11</v>
      </c>
      <c r="AP12" s="1">
        <f t="shared" si="13"/>
        <v>2.7318196987737329</v>
      </c>
      <c r="AQ12" s="1">
        <f t="shared" si="4"/>
        <v>-4586.0565075272643</v>
      </c>
      <c r="AR12" s="1">
        <f t="shared" si="5"/>
        <v>-13007.994550768792</v>
      </c>
      <c r="AU12" s="1">
        <v>10</v>
      </c>
      <c r="AV12" s="1">
        <f t="shared" si="14"/>
        <v>-63971.796588028141</v>
      </c>
      <c r="AW12" s="1">
        <f t="shared" si="6"/>
        <v>-53963.40546917836</v>
      </c>
      <c r="AX12" s="1">
        <f t="shared" si="7"/>
        <v>105508.8046190184</v>
      </c>
      <c r="AY12" s="1">
        <f t="shared" si="8"/>
        <v>88999.59292071627</v>
      </c>
      <c r="AZ12" s="1">
        <f t="shared" si="9"/>
        <v>-516445.7587557559</v>
      </c>
      <c r="BA12" s="1">
        <f t="shared" si="10"/>
        <v>-435264.18202688551</v>
      </c>
    </row>
    <row r="13" spans="2:53" ht="4.5" customHeight="1" x14ac:dyDescent="0.25">
      <c r="B13" s="2"/>
      <c r="C13" s="92"/>
      <c r="D13" s="92"/>
      <c r="E13" s="92"/>
      <c r="F13" s="92"/>
      <c r="G13" s="92"/>
      <c r="H13" s="92"/>
      <c r="I13" s="92"/>
      <c r="J13" s="92"/>
      <c r="K13" s="11"/>
      <c r="L13" s="2"/>
      <c r="AC13" s="1">
        <v>12</v>
      </c>
      <c r="AD13" s="1">
        <f t="shared" si="11"/>
        <v>3.0050016686511065</v>
      </c>
      <c r="AE13" s="1">
        <f t="shared" si="0"/>
        <v>46.570269818345878</v>
      </c>
      <c r="AF13" s="1">
        <f t="shared" si="1"/>
        <v>8180.8332454812335</v>
      </c>
      <c r="AI13" s="1">
        <v>12</v>
      </c>
      <c r="AJ13" s="1">
        <f t="shared" si="12"/>
        <v>3.0050016686511065</v>
      </c>
      <c r="AK13" s="1">
        <f t="shared" si="2"/>
        <v>-23467.400811127158</v>
      </c>
      <c r="AL13" s="1">
        <f t="shared" si="3"/>
        <v>10476.583271836864</v>
      </c>
      <c r="AO13" s="1">
        <v>12</v>
      </c>
      <c r="AP13" s="1">
        <f t="shared" si="13"/>
        <v>3.0050016686511065</v>
      </c>
      <c r="AQ13" s="1">
        <f t="shared" si="4"/>
        <v>-4953.4297301816541</v>
      </c>
      <c r="AR13" s="1">
        <f t="shared" si="5"/>
        <v>-14319.166754518767</v>
      </c>
      <c r="AU13" s="1">
        <v>11</v>
      </c>
      <c r="AV13" s="1">
        <f t="shared" si="14"/>
        <v>3532538.5093745622</v>
      </c>
      <c r="AW13" s="1">
        <f t="shared" si="6"/>
        <v>2977231.9547673957</v>
      </c>
      <c r="AX13" s="1">
        <f t="shared" si="7"/>
        <v>-5639376.3382823244</v>
      </c>
      <c r="AY13" s="1">
        <f t="shared" si="8"/>
        <v>-4752879.8148442032</v>
      </c>
      <c r="AZ13" s="1">
        <f t="shared" si="9"/>
        <v>-580417.55534378404</v>
      </c>
      <c r="BA13" s="1">
        <f t="shared" si="10"/>
        <v>-489227.58749606385</v>
      </c>
    </row>
    <row r="14" spans="2:53" x14ac:dyDescent="0.25">
      <c r="B14" s="2"/>
      <c r="C14" s="91" t="s">
        <v>7</v>
      </c>
      <c r="D14" s="91"/>
      <c r="E14" s="91"/>
      <c r="F14" s="91"/>
      <c r="G14" s="91"/>
      <c r="H14" s="91"/>
      <c r="I14" s="91"/>
      <c r="J14" s="91"/>
      <c r="K14" s="91"/>
      <c r="L14" s="2"/>
      <c r="AC14" s="1">
        <v>13</v>
      </c>
      <c r="AD14" s="1">
        <f t="shared" si="11"/>
        <v>3.2781836385284797</v>
      </c>
      <c r="AE14" s="1">
        <f t="shared" si="0"/>
        <v>46.570269818345878</v>
      </c>
      <c r="AF14" s="1">
        <f t="shared" si="1"/>
        <v>6819.1667545187684</v>
      </c>
      <c r="AI14" s="1">
        <v>13</v>
      </c>
      <c r="AJ14" s="1">
        <f t="shared" si="12"/>
        <v>3.2781836385284797</v>
      </c>
      <c r="AK14" s="1">
        <f t="shared" si="2"/>
        <v>-23467.400811127158</v>
      </c>
      <c r="AL14" s="1">
        <f t="shared" si="3"/>
        <v>9523.416728163138</v>
      </c>
      <c r="AO14" s="1">
        <v>13</v>
      </c>
      <c r="AP14" s="1">
        <f t="shared" si="13"/>
        <v>3.2781836385284797</v>
      </c>
      <c r="AQ14" s="1">
        <f t="shared" si="4"/>
        <v>-4953.4297301816541</v>
      </c>
      <c r="AR14" s="1">
        <f t="shared" si="5"/>
        <v>-15680.833245481232</v>
      </c>
      <c r="AU14" s="1">
        <v>12</v>
      </c>
      <c r="AV14" s="1">
        <f t="shared" si="14"/>
        <v>5681399.754469851</v>
      </c>
      <c r="AW14" s="1">
        <f t="shared" si="6"/>
        <v>4788676.1558059147</v>
      </c>
      <c r="AX14" s="1">
        <f t="shared" si="7"/>
        <v>-9071859.4930331707</v>
      </c>
      <c r="AY14" s="1">
        <f t="shared" si="8"/>
        <v>-7646389.9100295743</v>
      </c>
      <c r="AZ14" s="1">
        <f t="shared" si="9"/>
        <v>2952120.9540307783</v>
      </c>
      <c r="BA14" s="1">
        <f t="shared" si="10"/>
        <v>2488004.3672713321</v>
      </c>
    </row>
    <row r="15" spans="2:53" ht="18" x14ac:dyDescent="0.35">
      <c r="B15" s="2"/>
      <c r="C15" s="93" t="s">
        <v>8</v>
      </c>
      <c r="D15" s="93"/>
      <c r="E15" s="93"/>
      <c r="F15" s="94"/>
      <c r="G15" s="12" t="s">
        <v>40</v>
      </c>
      <c r="H15" s="33">
        <v>5000</v>
      </c>
      <c r="I15" s="34"/>
      <c r="J15" s="35">
        <v>7500</v>
      </c>
      <c r="K15" s="13" t="s">
        <v>34</v>
      </c>
      <c r="L15" s="2"/>
      <c r="AC15" s="1">
        <v>14</v>
      </c>
      <c r="AD15" s="1">
        <f t="shared" si="11"/>
        <v>3.5513656084058529</v>
      </c>
      <c r="AE15" s="1">
        <f t="shared" si="0"/>
        <v>413.94349247273385</v>
      </c>
      <c r="AF15" s="1">
        <f t="shared" si="1"/>
        <v>5507.9945507687944</v>
      </c>
      <c r="AI15" s="1">
        <v>14</v>
      </c>
      <c r="AJ15" s="1">
        <f t="shared" si="12"/>
        <v>3.5513656084058529</v>
      </c>
      <c r="AK15" s="1">
        <f t="shared" si="2"/>
        <v>-23210.239555269087</v>
      </c>
      <c r="AL15" s="1">
        <f t="shared" si="3"/>
        <v>8605.5961855381556</v>
      </c>
      <c r="AO15" s="1">
        <v>14</v>
      </c>
      <c r="AP15" s="1">
        <f t="shared" si="13"/>
        <v>3.5513656084058529</v>
      </c>
      <c r="AQ15" s="1">
        <f t="shared" si="4"/>
        <v>-4586.0565075272661</v>
      </c>
      <c r="AR15" s="1">
        <f t="shared" si="5"/>
        <v>-16992.005449231205</v>
      </c>
      <c r="AU15" s="1">
        <v>13</v>
      </c>
      <c r="AV15" s="1">
        <f t="shared" si="14"/>
        <v>-21901136.768471252</v>
      </c>
      <c r="AW15" s="1">
        <f t="shared" si="6"/>
        <v>-18457778.767560981</v>
      </c>
      <c r="AX15" s="1">
        <f t="shared" si="7"/>
        <v>34987100.6638368</v>
      </c>
      <c r="AY15" s="1">
        <f t="shared" si="8"/>
        <v>29486331.020303659</v>
      </c>
      <c r="AZ15" s="1">
        <f t="shared" si="9"/>
        <v>8633520.7085006293</v>
      </c>
      <c r="BA15" s="1">
        <f t="shared" si="10"/>
        <v>7276680.5230772467</v>
      </c>
    </row>
    <row r="16" spans="2:53" ht="18" x14ac:dyDescent="0.35">
      <c r="B16" s="2"/>
      <c r="C16" s="44" t="s">
        <v>9</v>
      </c>
      <c r="D16" s="44"/>
      <c r="E16" s="44"/>
      <c r="F16" s="45"/>
      <c r="G16" s="14" t="s">
        <v>41</v>
      </c>
      <c r="H16" s="76">
        <v>5000</v>
      </c>
      <c r="I16" s="77"/>
      <c r="J16" s="78"/>
      <c r="K16" s="15" t="s">
        <v>34</v>
      </c>
      <c r="L16" s="2"/>
      <c r="AC16" s="1">
        <v>15</v>
      </c>
      <c r="AD16" s="1">
        <f t="shared" si="11"/>
        <v>3.8245475782832266</v>
      </c>
      <c r="AE16" s="1">
        <f t="shared" si="0"/>
        <v>1121.4435464779012</v>
      </c>
      <c r="AF16" s="1">
        <f t="shared" si="1"/>
        <v>4344.5602783697359</v>
      </c>
      <c r="AI16" s="1">
        <v>15</v>
      </c>
      <c r="AJ16" s="1">
        <f t="shared" si="12"/>
        <v>3.8245475782832266</v>
      </c>
      <c r="AK16" s="1">
        <f t="shared" si="2"/>
        <v>-22714.98951746547</v>
      </c>
      <c r="AL16" s="1">
        <f t="shared" si="3"/>
        <v>7791.1921948588151</v>
      </c>
      <c r="AO16" s="1">
        <v>15</v>
      </c>
      <c r="AP16" s="1">
        <f t="shared" si="13"/>
        <v>3.8245475782832266</v>
      </c>
      <c r="AQ16" s="1">
        <f t="shared" si="4"/>
        <v>-3878.5564535220988</v>
      </c>
      <c r="AR16" s="1">
        <f t="shared" si="5"/>
        <v>-18155.439721630264</v>
      </c>
      <c r="AU16" s="1">
        <v>14</v>
      </c>
      <c r="AV16" s="1">
        <f t="shared" si="14"/>
        <v>-83858848.221271113</v>
      </c>
      <c r="AW16" s="1">
        <f t="shared" si="6"/>
        <v>-70679110.463910162</v>
      </c>
      <c r="AX16" s="1">
        <f t="shared" si="7"/>
        <v>133955240.81437434</v>
      </c>
      <c r="AY16" s="1">
        <f t="shared" si="8"/>
        <v>112902066.57582411</v>
      </c>
      <c r="AZ16" s="1">
        <f t="shared" si="9"/>
        <v>-13267616.059970623</v>
      </c>
      <c r="BA16" s="1">
        <f t="shared" si="10"/>
        <v>-11181098.244483735</v>
      </c>
    </row>
    <row r="17" spans="2:53" ht="18.75" x14ac:dyDescent="0.35">
      <c r="B17" s="2"/>
      <c r="C17" s="44" t="s">
        <v>10</v>
      </c>
      <c r="D17" s="44"/>
      <c r="E17" s="44"/>
      <c r="F17" s="45"/>
      <c r="G17" s="14" t="s">
        <v>57</v>
      </c>
      <c r="H17" s="76">
        <v>1</v>
      </c>
      <c r="I17" s="77"/>
      <c r="J17" s="78"/>
      <c r="K17" s="16" t="s">
        <v>55</v>
      </c>
      <c r="L17" s="2"/>
      <c r="AC17" s="1">
        <v>16</v>
      </c>
      <c r="AD17" s="1">
        <f t="shared" si="11"/>
        <v>4.0977295481605998</v>
      </c>
      <c r="AE17" s="1">
        <f t="shared" si="0"/>
        <v>2116.5983894256642</v>
      </c>
      <c r="AF17" s="1">
        <f t="shared" si="1"/>
        <v>3415.1505349477902</v>
      </c>
      <c r="AI17" s="1">
        <v>16</v>
      </c>
      <c r="AJ17" s="1">
        <f t="shared" si="12"/>
        <v>4.0977295481605998</v>
      </c>
      <c r="AK17" s="1">
        <f t="shared" si="2"/>
        <v>-22018.381127402034</v>
      </c>
      <c r="AL17" s="1">
        <f t="shared" si="3"/>
        <v>7140.6053744634537</v>
      </c>
      <c r="AO17" s="1">
        <v>16</v>
      </c>
      <c r="AP17" s="1">
        <f t="shared" si="13"/>
        <v>4.0977295481605998</v>
      </c>
      <c r="AQ17" s="1">
        <f t="shared" si="4"/>
        <v>-2883.4016105743358</v>
      </c>
      <c r="AR17" s="1">
        <f t="shared" si="5"/>
        <v>-19084.849465052212</v>
      </c>
      <c r="AU17" s="1">
        <v>15</v>
      </c>
      <c r="AV17" s="1">
        <f t="shared" si="14"/>
        <v>93230163.194523588</v>
      </c>
      <c r="AW17" s="1">
        <f t="shared" si="6"/>
        <v>78565339.903263912</v>
      </c>
      <c r="AX17" s="1">
        <f t="shared" si="7"/>
        <v>-148917862.30645612</v>
      </c>
      <c r="AY17" s="1">
        <f t="shared" si="8"/>
        <v>-125493531.55534208</v>
      </c>
      <c r="AZ17" s="1">
        <f t="shared" si="9"/>
        <v>-97126464.28124173</v>
      </c>
      <c r="BA17" s="1">
        <f t="shared" si="10"/>
        <v>-81860208.708393902</v>
      </c>
    </row>
    <row r="18" spans="2:53" ht="18.75" x14ac:dyDescent="0.35">
      <c r="B18" s="2"/>
      <c r="C18" s="44" t="s">
        <v>11</v>
      </c>
      <c r="D18" s="44"/>
      <c r="E18" s="44"/>
      <c r="F18" s="45"/>
      <c r="G18" s="14" t="s">
        <v>43</v>
      </c>
      <c r="H18" s="47">
        <f>4/3*(PI()*POWER(H16,3))</f>
        <v>523598775598.29883</v>
      </c>
      <c r="I18" s="48"/>
      <c r="J18" s="49"/>
      <c r="K18" s="15" t="s">
        <v>56</v>
      </c>
      <c r="L18" s="2"/>
      <c r="AC18" s="1">
        <v>17</v>
      </c>
      <c r="AD18" s="1">
        <f t="shared" si="11"/>
        <v>4.370911518037973</v>
      </c>
      <c r="AE18" s="1">
        <f t="shared" si="0"/>
        <v>3325.6019391450682</v>
      </c>
      <c r="AF18" s="1">
        <f t="shared" si="1"/>
        <v>2788.6953894058979</v>
      </c>
      <c r="AI18" s="1">
        <v>17</v>
      </c>
      <c r="AJ18" s="1">
        <f t="shared" si="12"/>
        <v>4.370911518037973</v>
      </c>
      <c r="AK18" s="1">
        <f t="shared" si="2"/>
        <v>-21172.078642598452</v>
      </c>
      <c r="AL18" s="1">
        <f t="shared" si="3"/>
        <v>6702.086772584129</v>
      </c>
      <c r="AO18" s="1">
        <v>17</v>
      </c>
      <c r="AP18" s="1">
        <f t="shared" si="13"/>
        <v>4.370911518037973</v>
      </c>
      <c r="AQ18" s="1">
        <f t="shared" si="4"/>
        <v>-1674.3980608549318</v>
      </c>
      <c r="AR18" s="1">
        <f t="shared" si="5"/>
        <v>-19711.304610594103</v>
      </c>
      <c r="AU18" s="1">
        <v>16</v>
      </c>
      <c r="AV18" s="1">
        <f t="shared" si="14"/>
        <v>1007740715.9408854</v>
      </c>
      <c r="AW18" s="1">
        <f t="shared" si="6"/>
        <v>849340775.34488964</v>
      </c>
      <c r="AX18" s="1">
        <f t="shared" si="7"/>
        <v>-1609711142.6118002</v>
      </c>
      <c r="AY18" s="1">
        <f t="shared" si="8"/>
        <v>-1356691545.9863808</v>
      </c>
      <c r="AZ18" s="1">
        <f t="shared" si="9"/>
        <v>-3896301.086718142</v>
      </c>
      <c r="BA18" s="1">
        <f t="shared" si="10"/>
        <v>-3294868.80512999</v>
      </c>
    </row>
    <row r="19" spans="2:53" ht="18" x14ac:dyDescent="0.35">
      <c r="B19" s="2"/>
      <c r="C19" s="44" t="s">
        <v>12</v>
      </c>
      <c r="D19" s="44"/>
      <c r="E19" s="44"/>
      <c r="F19" s="45"/>
      <c r="G19" s="14" t="s">
        <v>44</v>
      </c>
      <c r="H19" s="47">
        <f>H18*H17</f>
        <v>523598775598.29883</v>
      </c>
      <c r="I19" s="48"/>
      <c r="J19" s="49"/>
      <c r="K19" s="15" t="s">
        <v>33</v>
      </c>
      <c r="L19" s="2"/>
      <c r="AC19" s="1">
        <v>18</v>
      </c>
      <c r="AD19" s="1">
        <f t="shared" si="11"/>
        <v>4.6440934879153462</v>
      </c>
      <c r="AE19" s="1">
        <f t="shared" si="0"/>
        <v>4658.7879331766435</v>
      </c>
      <c r="AF19" s="1">
        <f t="shared" si="1"/>
        <v>2511.656154047304</v>
      </c>
      <c r="AI19" s="1">
        <v>18</v>
      </c>
      <c r="AJ19" s="1">
        <f t="shared" si="12"/>
        <v>4.6440934879153462</v>
      </c>
      <c r="AK19" s="1">
        <f t="shared" si="2"/>
        <v>-20238.848446776348</v>
      </c>
      <c r="AL19" s="1">
        <f t="shared" si="3"/>
        <v>6508.1593078331134</v>
      </c>
      <c r="AO19" s="1">
        <v>18</v>
      </c>
      <c r="AP19" s="1">
        <f t="shared" si="13"/>
        <v>4.6440934879153462</v>
      </c>
      <c r="AQ19" s="1">
        <f t="shared" si="4"/>
        <v>-341.21206682335674</v>
      </c>
      <c r="AR19" s="1">
        <f t="shared" si="5"/>
        <v>-19988.343845952695</v>
      </c>
      <c r="AU19" s="1">
        <v>17</v>
      </c>
      <c r="AV19" s="1">
        <f t="shared" si="14"/>
        <v>418324696.36568892</v>
      </c>
      <c r="AW19" s="1">
        <f t="shared" si="6"/>
        <v>352688149.60214603</v>
      </c>
      <c r="AX19" s="1">
        <f t="shared" si="7"/>
        <v>-668207561.14512312</v>
      </c>
      <c r="AY19" s="1">
        <f t="shared" si="8"/>
        <v>-563363556.32870102</v>
      </c>
      <c r="AZ19" s="1">
        <f t="shared" si="9"/>
        <v>1003844414.8541672</v>
      </c>
      <c r="BA19" s="1">
        <f t="shared" si="10"/>
        <v>846045906.53975964</v>
      </c>
    </row>
    <row r="20" spans="2:53" ht="18" x14ac:dyDescent="0.35">
      <c r="B20" s="2"/>
      <c r="C20" s="44" t="s">
        <v>13</v>
      </c>
      <c r="D20" s="44"/>
      <c r="E20" s="44"/>
      <c r="F20" s="45"/>
      <c r="G20" s="42" t="s">
        <v>64</v>
      </c>
      <c r="H20" s="47">
        <f>H16*$H$5</f>
        <v>5000</v>
      </c>
      <c r="I20" s="48"/>
      <c r="J20" s="49"/>
      <c r="K20" s="15" t="s">
        <v>34</v>
      </c>
      <c r="L20" s="2"/>
      <c r="AC20" s="1">
        <v>19</v>
      </c>
      <c r="AD20" s="1">
        <f t="shared" si="11"/>
        <v>4.9172754577927202</v>
      </c>
      <c r="AE20" s="1">
        <f t="shared" si="0"/>
        <v>6017.2800652631704</v>
      </c>
      <c r="AF20" s="1">
        <f t="shared" si="1"/>
        <v>2604.5795615883862</v>
      </c>
      <c r="AI20" s="1">
        <v>19</v>
      </c>
      <c r="AJ20" s="1">
        <f t="shared" si="12"/>
        <v>4.9172754577927202</v>
      </c>
      <c r="AK20" s="1">
        <f t="shared" si="2"/>
        <v>-19287.903954315781</v>
      </c>
      <c r="AL20" s="1">
        <f t="shared" si="3"/>
        <v>6573.2056931118696</v>
      </c>
      <c r="AO20" s="1">
        <v>19</v>
      </c>
      <c r="AP20" s="1">
        <f t="shared" si="13"/>
        <v>4.9172754577927202</v>
      </c>
      <c r="AQ20" s="1">
        <f t="shared" si="4"/>
        <v>1017.2800652631709</v>
      </c>
      <c r="AR20" s="1">
        <f t="shared" si="5"/>
        <v>-19895.420438411613</v>
      </c>
      <c r="AU20" s="1">
        <v>18</v>
      </c>
      <c r="AV20" s="1">
        <f t="shared" si="14"/>
        <v>-11155548317.900599</v>
      </c>
      <c r="AW20" s="1">
        <f t="shared" si="6"/>
        <v>-9401915451.5364513</v>
      </c>
      <c r="AX20" s="1">
        <f t="shared" si="7"/>
        <v>17819316585.595577</v>
      </c>
      <c r="AY20" s="1">
        <f t="shared" si="8"/>
        <v>15018150893.989119</v>
      </c>
      <c r="AZ20" s="1">
        <f t="shared" si="9"/>
        <v>1422169111.2198563</v>
      </c>
      <c r="BA20" s="1">
        <f t="shared" si="10"/>
        <v>1198734056.1419058</v>
      </c>
    </row>
    <row r="21" spans="2:53" ht="18" x14ac:dyDescent="0.35">
      <c r="B21" s="2"/>
      <c r="C21" s="44" t="s">
        <v>14</v>
      </c>
      <c r="D21" s="44"/>
      <c r="E21" s="44"/>
      <c r="F21" s="45"/>
      <c r="G21" s="14" t="s">
        <v>63</v>
      </c>
      <c r="H21" s="76" t="s">
        <v>20</v>
      </c>
      <c r="I21" s="77"/>
      <c r="J21" s="78"/>
      <c r="K21" s="15" t="s">
        <v>32</v>
      </c>
      <c r="L21" s="2"/>
      <c r="AC21" s="1">
        <v>20</v>
      </c>
      <c r="AD21" s="1">
        <f t="shared" si="11"/>
        <v>5.1904574276700934</v>
      </c>
      <c r="AE21" s="1">
        <f t="shared" si="0"/>
        <v>7300.3251886557618</v>
      </c>
      <c r="AF21" s="1">
        <f t="shared" si="1"/>
        <v>3060.5739079881241</v>
      </c>
      <c r="AI21" s="1">
        <v>20</v>
      </c>
      <c r="AJ21" s="1">
        <f t="shared" si="12"/>
        <v>5.1904574276700934</v>
      </c>
      <c r="AK21" s="1">
        <f t="shared" si="2"/>
        <v>-18389.772367940968</v>
      </c>
      <c r="AL21" s="1">
        <f t="shared" si="3"/>
        <v>6892.4017355916876</v>
      </c>
      <c r="AO21" s="1">
        <v>20</v>
      </c>
      <c r="AP21" s="1">
        <f t="shared" si="13"/>
        <v>5.1904574276700934</v>
      </c>
      <c r="AQ21" s="1">
        <f t="shared" si="4"/>
        <v>2300.3251886557618</v>
      </c>
      <c r="AR21" s="1">
        <f t="shared" si="5"/>
        <v>-19439.426092011876</v>
      </c>
      <c r="AU21" s="1">
        <v>19</v>
      </c>
      <c r="AV21" s="1">
        <f t="shared" si="14"/>
        <v>-21088040519.756115</v>
      </c>
      <c r="AW21" s="1">
        <f t="shared" si="6"/>
        <v>-17774553245.851425</v>
      </c>
      <c r="AX21" s="1">
        <f t="shared" si="7"/>
        <v>33684981362.872246</v>
      </c>
      <c r="AY21" s="1">
        <f t="shared" si="8"/>
        <v>28392182491.148872</v>
      </c>
      <c r="AZ21" s="1">
        <f t="shared" si="9"/>
        <v>-9733379206.6807423</v>
      </c>
      <c r="BA21" s="1">
        <f t="shared" si="10"/>
        <v>-8203181395.3945456</v>
      </c>
    </row>
    <row r="22" spans="2:53" ht="4.5" customHeight="1" x14ac:dyDescent="0.25">
      <c r="B22" s="2"/>
      <c r="C22" s="17"/>
      <c r="D22" s="17"/>
      <c r="E22" s="17"/>
      <c r="F22" s="17"/>
      <c r="G22" s="17"/>
      <c r="H22" s="17"/>
      <c r="I22" s="17"/>
      <c r="J22" s="17"/>
      <c r="K22" s="16"/>
      <c r="L22" s="2"/>
      <c r="AC22" s="1">
        <v>21</v>
      </c>
      <c r="AD22" s="1">
        <f t="shared" si="11"/>
        <v>5.4636393975474657</v>
      </c>
      <c r="AE22" s="1">
        <f t="shared" si="0"/>
        <v>8412.7657160932686</v>
      </c>
      <c r="AF22" s="1">
        <f t="shared" si="1"/>
        <v>3845.8201786093773</v>
      </c>
      <c r="AI22" s="1">
        <v>21</v>
      </c>
      <c r="AJ22" s="1">
        <f t="shared" si="12"/>
        <v>5.4636393975474657</v>
      </c>
      <c r="AK22" s="1">
        <f t="shared" si="2"/>
        <v>-17611.063998734713</v>
      </c>
      <c r="AL22" s="1">
        <f t="shared" si="3"/>
        <v>7442.0741250265637</v>
      </c>
      <c r="AO22" s="1">
        <v>21</v>
      </c>
      <c r="AP22" s="1">
        <f t="shared" si="13"/>
        <v>5.4636393975474657</v>
      </c>
      <c r="AQ22" s="1">
        <f t="shared" si="4"/>
        <v>3412.7657160932677</v>
      </c>
      <c r="AR22" s="1">
        <f t="shared" si="5"/>
        <v>-18654.179821390622</v>
      </c>
      <c r="AU22" s="1">
        <v>20</v>
      </c>
      <c r="AV22" s="1">
        <f t="shared" si="14"/>
        <v>113982950179.23137</v>
      </c>
      <c r="AW22" s="1">
        <f t="shared" si="6"/>
        <v>96062864968.393158</v>
      </c>
      <c r="AX22" s="1">
        <f t="shared" si="7"/>
        <v>-182070643309.49869</v>
      </c>
      <c r="AY22" s="1">
        <f t="shared" si="8"/>
        <v>-153445998681.59344</v>
      </c>
      <c r="AZ22" s="1">
        <f t="shared" si="9"/>
        <v>-30821419726.436859</v>
      </c>
      <c r="BA22" s="1">
        <f t="shared" si="10"/>
        <v>-25977734641.245972</v>
      </c>
    </row>
    <row r="23" spans="2:53" x14ac:dyDescent="0.25">
      <c r="B23" s="2"/>
      <c r="C23" s="46" t="s">
        <v>15</v>
      </c>
      <c r="D23" s="46"/>
      <c r="E23" s="46"/>
      <c r="F23" s="46"/>
      <c r="G23" s="46"/>
      <c r="H23" s="46"/>
      <c r="I23" s="46"/>
      <c r="J23" s="46"/>
      <c r="K23" s="46"/>
      <c r="L23" s="2"/>
      <c r="AC23" s="1">
        <v>22</v>
      </c>
      <c r="AD23" s="1">
        <f t="shared" si="11"/>
        <v>5.7368213674248389</v>
      </c>
      <c r="AE23" s="1">
        <f t="shared" si="0"/>
        <v>9272.0970227324397</v>
      </c>
      <c r="AF23" s="1">
        <f t="shared" si="1"/>
        <v>4902.0802498228277</v>
      </c>
      <c r="AI23" s="1">
        <v>22</v>
      </c>
      <c r="AJ23" s="1">
        <f t="shared" si="12"/>
        <v>5.7368213674248389</v>
      </c>
      <c r="AK23" s="1">
        <f t="shared" si="2"/>
        <v>-17009.532084087292</v>
      </c>
      <c r="AL23" s="1">
        <f t="shared" si="3"/>
        <v>8181.4561748759797</v>
      </c>
      <c r="AO23" s="1">
        <v>22</v>
      </c>
      <c r="AP23" s="1">
        <f t="shared" si="13"/>
        <v>5.7368213674248389</v>
      </c>
      <c r="AQ23" s="1">
        <f t="shared" si="4"/>
        <v>4272.0970227324406</v>
      </c>
      <c r="AR23" s="1">
        <f t="shared" si="5"/>
        <v>-17597.91975017717</v>
      </c>
      <c r="AU23" s="1">
        <v>21</v>
      </c>
      <c r="AV23" s="1">
        <f t="shared" si="14"/>
        <v>447827705094.69897</v>
      </c>
      <c r="AW23" s="1">
        <f t="shared" si="6"/>
        <v>377447413762.91809</v>
      </c>
      <c r="AX23" s="1">
        <f t="shared" si="7"/>
        <v>-715337507405.44141</v>
      </c>
      <c r="AY23" s="1">
        <f t="shared" si="8"/>
        <v>-602915561199.3656</v>
      </c>
      <c r="AZ23" s="1">
        <f t="shared" si="9"/>
        <v>83161530452.79451</v>
      </c>
      <c r="BA23" s="1">
        <f t="shared" si="10"/>
        <v>70085130327.147186</v>
      </c>
    </row>
    <row r="24" spans="2:53" ht="18" x14ac:dyDescent="0.35">
      <c r="B24" s="2"/>
      <c r="C24" s="65" t="s">
        <v>8</v>
      </c>
      <c r="D24" s="65"/>
      <c r="E24" s="65"/>
      <c r="F24" s="66"/>
      <c r="G24" s="18" t="s">
        <v>45</v>
      </c>
      <c r="H24" s="36">
        <v>-20000</v>
      </c>
      <c r="I24" s="37"/>
      <c r="J24" s="38">
        <v>10000</v>
      </c>
      <c r="K24" s="19" t="s">
        <v>34</v>
      </c>
      <c r="L24" s="2"/>
      <c r="AC24" s="1">
        <v>23</v>
      </c>
      <c r="AD24" s="1">
        <f t="shared" si="11"/>
        <v>6.010003337302213</v>
      </c>
      <c r="AE24" s="1">
        <f t="shared" si="0"/>
        <v>9814.586436738995</v>
      </c>
      <c r="AF24" s="1">
        <f t="shared" si="1"/>
        <v>6151.0161442148783</v>
      </c>
      <c r="AI24" s="1">
        <v>23</v>
      </c>
      <c r="AJ24" s="1">
        <f t="shared" si="12"/>
        <v>6.010003337302213</v>
      </c>
      <c r="AK24" s="1">
        <f t="shared" si="2"/>
        <v>-16629.789494282704</v>
      </c>
      <c r="AL24" s="1">
        <f t="shared" si="3"/>
        <v>9055.7113009504137</v>
      </c>
      <c r="AO24" s="1">
        <v>23</v>
      </c>
      <c r="AP24" s="1">
        <f t="shared" si="13"/>
        <v>6.010003337302213</v>
      </c>
      <c r="AQ24" s="1">
        <f t="shared" si="4"/>
        <v>4814.5864367389959</v>
      </c>
      <c r="AR24" s="1">
        <f t="shared" si="5"/>
        <v>-16348.983855785122</v>
      </c>
      <c r="AU24" s="1">
        <v>22</v>
      </c>
      <c r="AV24" s="1">
        <f t="shared" si="14"/>
        <v>-977897158359.18677</v>
      </c>
      <c r="AW24" s="1">
        <f t="shared" si="6"/>
        <v>-824117978605.31567</v>
      </c>
      <c r="AX24" s="1">
        <f t="shared" si="7"/>
        <v>1562043867629.7368</v>
      </c>
      <c r="AY24" s="1">
        <f t="shared" si="8"/>
        <v>1316404719739.7905</v>
      </c>
      <c r="AZ24" s="1">
        <f t="shared" si="9"/>
        <v>530989235547.49347</v>
      </c>
      <c r="BA24" s="1">
        <f t="shared" si="10"/>
        <v>447532544090.06531</v>
      </c>
    </row>
    <row r="25" spans="2:53" ht="18" x14ac:dyDescent="0.35">
      <c r="B25" s="2"/>
      <c r="C25" s="67" t="s">
        <v>9</v>
      </c>
      <c r="D25" s="67"/>
      <c r="E25" s="67"/>
      <c r="F25" s="68"/>
      <c r="G25" s="20" t="s">
        <v>46</v>
      </c>
      <c r="H25" s="79">
        <v>3500</v>
      </c>
      <c r="I25" s="80"/>
      <c r="J25" s="81"/>
      <c r="K25" s="21" t="s">
        <v>34</v>
      </c>
      <c r="L25" s="2"/>
      <c r="AC25" s="1">
        <v>24</v>
      </c>
      <c r="AD25" s="1">
        <f t="shared" si="11"/>
        <v>6.2831853071795862</v>
      </c>
      <c r="AE25" s="1">
        <f t="shared" si="0"/>
        <v>10000</v>
      </c>
      <c r="AF25" s="1">
        <f t="shared" si="1"/>
        <v>7499.9999999999991</v>
      </c>
      <c r="AI25" s="1">
        <v>24</v>
      </c>
      <c r="AJ25" s="1">
        <f t="shared" si="12"/>
        <v>6.2831853071795862</v>
      </c>
      <c r="AK25" s="1">
        <f t="shared" si="2"/>
        <v>-16500</v>
      </c>
      <c r="AL25" s="1">
        <f t="shared" si="3"/>
        <v>10000</v>
      </c>
      <c r="AO25" s="1">
        <v>24</v>
      </c>
      <c r="AP25" s="1">
        <f t="shared" si="13"/>
        <v>6.2831853071795862</v>
      </c>
      <c r="AQ25" s="1">
        <f t="shared" si="4"/>
        <v>5000</v>
      </c>
      <c r="AR25" s="1">
        <f t="shared" si="5"/>
        <v>-15000.000000000002</v>
      </c>
      <c r="AU25" s="1">
        <v>23</v>
      </c>
      <c r="AV25" s="1">
        <f t="shared" si="14"/>
        <v>-8011331547500.7852</v>
      </c>
      <c r="AW25" s="1">
        <f t="shared" si="6"/>
        <v>-6752143467732.9961</v>
      </c>
      <c r="AX25" s="1">
        <f t="shared" si="7"/>
        <v>12796899126840.898</v>
      </c>
      <c r="AY25" s="1">
        <f t="shared" si="8"/>
        <v>10785535255183.977</v>
      </c>
      <c r="AZ25" s="1">
        <f t="shared" si="9"/>
        <v>-446907922811.6933</v>
      </c>
      <c r="BA25" s="1">
        <f t="shared" si="10"/>
        <v>-376585434515.25037</v>
      </c>
    </row>
    <row r="26" spans="2:53" ht="18.75" x14ac:dyDescent="0.35">
      <c r="B26" s="2"/>
      <c r="C26" s="67" t="s">
        <v>10</v>
      </c>
      <c r="D26" s="67"/>
      <c r="E26" s="67"/>
      <c r="F26" s="68"/>
      <c r="G26" s="20" t="s">
        <v>42</v>
      </c>
      <c r="H26" s="79">
        <v>1</v>
      </c>
      <c r="I26" s="80"/>
      <c r="J26" s="81"/>
      <c r="K26" s="21" t="s">
        <v>55</v>
      </c>
      <c r="L26" s="2"/>
      <c r="AU26" s="1">
        <v>24</v>
      </c>
      <c r="AV26" s="1">
        <f t="shared" si="14"/>
        <v>3718798751697.0713</v>
      </c>
      <c r="AW26" s="1">
        <f t="shared" si="6"/>
        <v>3133101174750.8203</v>
      </c>
      <c r="AX26" s="1">
        <f t="shared" si="7"/>
        <v>-5940222568163.5254</v>
      </c>
      <c r="AY26" s="1">
        <f t="shared" si="8"/>
        <v>-5004658640938.0273</v>
      </c>
      <c r="AZ26" s="1">
        <f t="shared" si="9"/>
        <v>-8458239470312.4785</v>
      </c>
      <c r="BA26" s="1">
        <f t="shared" si="10"/>
        <v>-7128728902248.2461</v>
      </c>
    </row>
    <row r="27" spans="2:53" ht="18.75" x14ac:dyDescent="0.35">
      <c r="B27" s="2"/>
      <c r="C27" s="67" t="s">
        <v>11</v>
      </c>
      <c r="D27" s="67"/>
      <c r="E27" s="67"/>
      <c r="F27" s="68"/>
      <c r="G27" s="20" t="s">
        <v>47</v>
      </c>
      <c r="H27" s="82">
        <f>4/3*(PI()*POWER(H25,3))</f>
        <v>179594380030.21649</v>
      </c>
      <c r="I27" s="83"/>
      <c r="J27" s="84"/>
      <c r="K27" s="21" t="s">
        <v>56</v>
      </c>
      <c r="L27" s="2"/>
      <c r="AU27" s="1">
        <v>25</v>
      </c>
      <c r="AV27" s="1">
        <f t="shared" si="14"/>
        <v>133769951909903.44</v>
      </c>
      <c r="AW27" s="1">
        <f t="shared" si="6"/>
        <v>112742854512863</v>
      </c>
      <c r="AX27" s="1">
        <f t="shared" si="7"/>
        <v>-213677410574302.44</v>
      </c>
      <c r="AY27" s="1">
        <f t="shared" si="8"/>
        <v>-180089780022417.38</v>
      </c>
      <c r="AZ27" s="1">
        <f t="shared" si="9"/>
        <v>-4739440718615.4072</v>
      </c>
      <c r="BA27" s="1">
        <f t="shared" si="10"/>
        <v>-3995627727497.4258</v>
      </c>
    </row>
    <row r="28" spans="2:53" ht="18" x14ac:dyDescent="0.35">
      <c r="B28" s="2"/>
      <c r="C28" s="67" t="s">
        <v>12</v>
      </c>
      <c r="D28" s="67"/>
      <c r="E28" s="67"/>
      <c r="F28" s="68"/>
      <c r="G28" s="20" t="s">
        <v>48</v>
      </c>
      <c r="H28" s="82">
        <f>H27*H26</f>
        <v>179594380030.21649</v>
      </c>
      <c r="I28" s="83"/>
      <c r="J28" s="84"/>
      <c r="K28" s="21" t="s">
        <v>33</v>
      </c>
      <c r="L28" s="2"/>
      <c r="AU28" s="1">
        <v>26</v>
      </c>
      <c r="AV28" s="1">
        <f t="shared" si="14"/>
        <v>127168709654454.25</v>
      </c>
      <c r="AW28" s="1">
        <f t="shared" si="6"/>
        <v>107198337334947.33</v>
      </c>
      <c r="AX28" s="1">
        <f t="shared" si="7"/>
        <v>-203132917348424.56</v>
      </c>
      <c r="AY28" s="1">
        <f t="shared" si="8"/>
        <v>-171233246424512.44</v>
      </c>
      <c r="AZ28" s="1">
        <f t="shared" si="9"/>
        <v>129030511191288.03</v>
      </c>
      <c r="BA28" s="1">
        <f t="shared" si="10"/>
        <v>108747226785365.58</v>
      </c>
    </row>
    <row r="29" spans="2:53" ht="18" x14ac:dyDescent="0.35">
      <c r="B29" s="2"/>
      <c r="C29" s="67" t="s">
        <v>13</v>
      </c>
      <c r="D29" s="67"/>
      <c r="E29" s="67"/>
      <c r="F29" s="68"/>
      <c r="G29" s="20" t="s">
        <v>62</v>
      </c>
      <c r="H29" s="82">
        <f>H25*$H$5</f>
        <v>3500</v>
      </c>
      <c r="I29" s="83"/>
      <c r="J29" s="84"/>
      <c r="K29" s="21" t="s">
        <v>34</v>
      </c>
      <c r="L29" s="2"/>
      <c r="AU29" s="1">
        <v>27</v>
      </c>
      <c r="AV29" s="1">
        <f t="shared" si="14"/>
        <v>-2133445986804506.5</v>
      </c>
      <c r="AW29" s="1">
        <f t="shared" si="6"/>
        <v>-1798065866119009</v>
      </c>
      <c r="AX29" s="1">
        <f t="shared" si="7"/>
        <v>3407859594470781</v>
      </c>
      <c r="AY29" s="1">
        <f t="shared" si="8"/>
        <v>2872140214115279.5</v>
      </c>
      <c r="AZ29" s="1">
        <f t="shared" si="9"/>
        <v>256199220845742.28</v>
      </c>
      <c r="BA29" s="1">
        <f t="shared" si="10"/>
        <v>215945564120312.91</v>
      </c>
    </row>
    <row r="30" spans="2:53" ht="18" x14ac:dyDescent="0.35">
      <c r="B30" s="2"/>
      <c r="C30" s="67" t="s">
        <v>14</v>
      </c>
      <c r="D30" s="67"/>
      <c r="E30" s="67"/>
      <c r="F30" s="68"/>
      <c r="G30" s="20" t="s">
        <v>61</v>
      </c>
      <c r="H30" s="79" t="s">
        <v>20</v>
      </c>
      <c r="I30" s="80"/>
      <c r="J30" s="81"/>
      <c r="K30" s="21" t="s">
        <v>32</v>
      </c>
      <c r="L30" s="2"/>
      <c r="AU30" s="1">
        <v>28</v>
      </c>
      <c r="AV30" s="1">
        <f t="shared" si="14"/>
        <v>-5288754916153210</v>
      </c>
      <c r="AW30" s="1">
        <f t="shared" si="6"/>
        <v>-4457727411029173.5</v>
      </c>
      <c r="AX30" s="1">
        <f t="shared" si="7"/>
        <v>8447991791347032</v>
      </c>
      <c r="AY30" s="1">
        <f t="shared" si="8"/>
        <v>7120550143365005</v>
      </c>
      <c r="AZ30" s="1">
        <f t="shared" si="9"/>
        <v>-1877246765958764.3</v>
      </c>
      <c r="BA30" s="1">
        <f t="shared" si="10"/>
        <v>-1582120301998696</v>
      </c>
    </row>
    <row r="31" spans="2:53" ht="4.5" customHeight="1" x14ac:dyDescent="0.25">
      <c r="B31" s="2"/>
      <c r="C31" s="22"/>
      <c r="D31" s="22"/>
      <c r="E31" s="22"/>
      <c r="F31" s="22"/>
      <c r="G31" s="22"/>
      <c r="H31" s="22"/>
      <c r="I31" s="22"/>
      <c r="J31" s="22"/>
      <c r="K31" s="23"/>
      <c r="L31" s="2"/>
      <c r="AU31" s="1">
        <v>29</v>
      </c>
      <c r="AV31" s="1">
        <f t="shared" si="14"/>
        <v>3.2103749737252352E+16</v>
      </c>
      <c r="AW31" s="1">
        <f t="shared" si="6"/>
        <v>2.7056481357716136E+16</v>
      </c>
      <c r="AX31" s="1">
        <f t="shared" si="7"/>
        <v>-5.1280919337610368E+16</v>
      </c>
      <c r="AY31" s="1">
        <f t="shared" si="8"/>
        <v>-4.3218666025626376E+16</v>
      </c>
      <c r="AZ31" s="1">
        <f t="shared" si="9"/>
        <v>-7166001682111974</v>
      </c>
      <c r="BA31" s="1">
        <f t="shared" si="10"/>
        <v>-6039847713027870</v>
      </c>
    </row>
    <row r="32" spans="2:53" x14ac:dyDescent="0.25">
      <c r="B32" s="2"/>
      <c r="C32" s="69" t="s">
        <v>16</v>
      </c>
      <c r="D32" s="69"/>
      <c r="E32" s="69"/>
      <c r="F32" s="69"/>
      <c r="G32" s="69"/>
      <c r="H32" s="69"/>
      <c r="I32" s="69"/>
      <c r="J32" s="69"/>
      <c r="K32" s="69"/>
      <c r="L32" s="2"/>
      <c r="AU32" s="1">
        <v>30</v>
      </c>
      <c r="AV32" s="1">
        <f t="shared" si="14"/>
        <v>1.465910691383136E+17</v>
      </c>
      <c r="AW32" s="1">
        <f t="shared" si="6"/>
        <v>1.2355315771500861E+17</v>
      </c>
      <c r="AX32" s="1">
        <f t="shared" si="7"/>
        <v>-2.3415722006371728E+17</v>
      </c>
      <c r="AY32" s="1">
        <f t="shared" si="8"/>
        <v>-1.9735761605874637E+17</v>
      </c>
      <c r="AZ32" s="1">
        <f t="shared" si="9"/>
        <v>2.4937748055140376E+16</v>
      </c>
      <c r="BA32" s="1">
        <f t="shared" si="10"/>
        <v>2.1016633644688264E+16</v>
      </c>
    </row>
    <row r="33" spans="2:53" ht="18" x14ac:dyDescent="0.35">
      <c r="B33" s="2"/>
      <c r="C33" s="63" t="s">
        <v>8</v>
      </c>
      <c r="D33" s="63"/>
      <c r="E33" s="63"/>
      <c r="F33" s="64"/>
      <c r="G33" s="24" t="s">
        <v>49</v>
      </c>
      <c r="H33" s="39">
        <v>0</v>
      </c>
      <c r="I33" s="40"/>
      <c r="J33" s="41">
        <v>-15000</v>
      </c>
      <c r="K33" s="25" t="s">
        <v>34</v>
      </c>
      <c r="L33" s="2"/>
      <c r="AU33" s="1">
        <v>31</v>
      </c>
      <c r="AV33" s="1">
        <f t="shared" si="14"/>
        <v>-4.291508496582967E+17</v>
      </c>
      <c r="AW33" s="1">
        <f t="shared" si="6"/>
        <v>-3.6166854127635891E+17</v>
      </c>
      <c r="AX33" s="1">
        <f t="shared" si="7"/>
        <v>6.8550403878394803E+17</v>
      </c>
      <c r="AY33" s="1">
        <f t="shared" si="8"/>
        <v>5.7771118464159846E+17</v>
      </c>
      <c r="AZ33" s="1">
        <f t="shared" si="9"/>
        <v>1.7152881719345398E+17</v>
      </c>
      <c r="BA33" s="1">
        <f t="shared" si="10"/>
        <v>1.4456979135969686E+17</v>
      </c>
    </row>
    <row r="34" spans="2:53" ht="18" x14ac:dyDescent="0.35">
      <c r="B34" s="2"/>
      <c r="C34" s="61" t="s">
        <v>9</v>
      </c>
      <c r="D34" s="61"/>
      <c r="E34" s="61"/>
      <c r="F34" s="62"/>
      <c r="G34" s="26" t="s">
        <v>50</v>
      </c>
      <c r="H34" s="70">
        <v>5000</v>
      </c>
      <c r="I34" s="71"/>
      <c r="J34" s="72"/>
      <c r="K34" s="27" t="s">
        <v>34</v>
      </c>
      <c r="L34" s="2"/>
      <c r="AU34" s="1">
        <v>32</v>
      </c>
      <c r="AV34" s="1">
        <f t="shared" si="14"/>
        <v>-3.5967545833314821E+18</v>
      </c>
      <c r="AW34" s="1">
        <f t="shared" si="6"/>
        <v>-3.0314436208880548E+18</v>
      </c>
      <c r="AX34" s="1">
        <f t="shared" si="7"/>
        <v>5.7452753393161789E+18</v>
      </c>
      <c r="AY34" s="1">
        <f t="shared" si="8"/>
        <v>4.8422759668755395E+18</v>
      </c>
      <c r="AZ34" s="1">
        <f t="shared" si="9"/>
        <v>-2.5762203246484272E+17</v>
      </c>
      <c r="BA34" s="1">
        <f t="shared" si="10"/>
        <v>-2.1709874991666205E+17</v>
      </c>
    </row>
    <row r="35" spans="2:53" ht="18.75" x14ac:dyDescent="0.35">
      <c r="B35" s="2"/>
      <c r="C35" s="61" t="s">
        <v>10</v>
      </c>
      <c r="D35" s="61"/>
      <c r="E35" s="61"/>
      <c r="F35" s="62"/>
      <c r="G35" s="26" t="s">
        <v>51</v>
      </c>
      <c r="H35" s="70">
        <v>1</v>
      </c>
      <c r="I35" s="71"/>
      <c r="J35" s="72"/>
      <c r="K35" s="27" t="s">
        <v>55</v>
      </c>
      <c r="L35" s="2"/>
      <c r="AU35" s="1">
        <v>33</v>
      </c>
      <c r="AV35" s="1">
        <f t="shared" si="14"/>
        <v>3.9772166229037665E+18</v>
      </c>
      <c r="AW35" s="1">
        <f t="shared" si="6"/>
        <v>3.3514426738614712E+18</v>
      </c>
      <c r="AX35" s="1">
        <f t="shared" si="7"/>
        <v>-6.3530063153551135E+18</v>
      </c>
      <c r="AY35" s="1">
        <f t="shared" si="8"/>
        <v>-5.3534264012623626E+18</v>
      </c>
      <c r="AZ35" s="1">
        <f t="shared" si="9"/>
        <v>-3.8543766157963249E+18</v>
      </c>
      <c r="BA35" s="1">
        <f t="shared" si="10"/>
        <v>-3.2485423708047171E+18</v>
      </c>
    </row>
    <row r="36" spans="2:53" ht="18.75" x14ac:dyDescent="0.35">
      <c r="B36" s="2"/>
      <c r="C36" s="61" t="s">
        <v>11</v>
      </c>
      <c r="D36" s="61"/>
      <c r="E36" s="61"/>
      <c r="F36" s="62"/>
      <c r="G36" s="26" t="s">
        <v>52</v>
      </c>
      <c r="H36" s="73">
        <f>4/3*(PI()*POWER(H34,3))</f>
        <v>523598775598.29883</v>
      </c>
      <c r="I36" s="74"/>
      <c r="J36" s="75"/>
      <c r="K36" s="27" t="s">
        <v>56</v>
      </c>
      <c r="L36" s="2"/>
      <c r="AU36" s="1">
        <v>34</v>
      </c>
      <c r="AV36" s="1">
        <f t="shared" si="14"/>
        <v>8.3528724720791732E+19</v>
      </c>
      <c r="AW36" s="1">
        <f t="shared" si="6"/>
        <v>7.0399371439164154E+19</v>
      </c>
      <c r="AX36" s="1">
        <f t="shared" si="7"/>
        <v>-1.3342459462952639E+20</v>
      </c>
      <c r="AY36" s="1">
        <f t="shared" si="8"/>
        <v>-1.1245242433476128E+20</v>
      </c>
      <c r="AZ36" s="1">
        <f t="shared" si="9"/>
        <v>1.2284000710744166E+17</v>
      </c>
      <c r="BA36" s="1">
        <f t="shared" si="10"/>
        <v>1.0290030305675418E+17</v>
      </c>
    </row>
    <row r="37" spans="2:53" ht="18" x14ac:dyDescent="0.35">
      <c r="B37" s="2"/>
      <c r="C37" s="61" t="s">
        <v>12</v>
      </c>
      <c r="D37" s="61"/>
      <c r="E37" s="61"/>
      <c r="F37" s="62"/>
      <c r="G37" s="26" t="s">
        <v>53</v>
      </c>
      <c r="H37" s="73">
        <f>H36*H35</f>
        <v>523598775598.29883</v>
      </c>
      <c r="I37" s="74"/>
      <c r="J37" s="75"/>
      <c r="K37" s="27" t="s">
        <v>33</v>
      </c>
      <c r="L37" s="2"/>
      <c r="AU37" s="1">
        <v>35</v>
      </c>
      <c r="AV37" s="1">
        <f t="shared" si="14"/>
        <v>2.8545074264929296E+19</v>
      </c>
      <c r="AW37" s="1">
        <f t="shared" si="6"/>
        <v>2.4072085808717054E+19</v>
      </c>
      <c r="AX37" s="1">
        <f t="shared" si="7"/>
        <v>-4.5596469659974205E+19</v>
      </c>
      <c r="AY37" s="1">
        <f t="shared" si="8"/>
        <v>-3.845154228861073E+19</v>
      </c>
      <c r="AZ37" s="1">
        <f t="shared" si="9"/>
        <v>8.3651564727899177E+19</v>
      </c>
      <c r="BA37" s="1">
        <f t="shared" si="10"/>
        <v>7.0502271742220911E+19</v>
      </c>
    </row>
    <row r="38" spans="2:53" ht="18" x14ac:dyDescent="0.35">
      <c r="B38" s="2"/>
      <c r="C38" s="61" t="s">
        <v>13</v>
      </c>
      <c r="D38" s="61"/>
      <c r="E38" s="61"/>
      <c r="F38" s="62"/>
      <c r="G38" s="26" t="s">
        <v>59</v>
      </c>
      <c r="H38" s="73">
        <f>H34*$H$5</f>
        <v>5000</v>
      </c>
      <c r="I38" s="74"/>
      <c r="J38" s="75"/>
      <c r="K38" s="27" t="s">
        <v>34</v>
      </c>
      <c r="L38" s="2"/>
      <c r="AU38" s="1">
        <v>36</v>
      </c>
    </row>
    <row r="39" spans="2:53" ht="18" x14ac:dyDescent="0.35">
      <c r="B39" s="2"/>
      <c r="C39" s="61" t="s">
        <v>14</v>
      </c>
      <c r="D39" s="61"/>
      <c r="E39" s="61"/>
      <c r="F39" s="62"/>
      <c r="G39" s="43" t="s">
        <v>60</v>
      </c>
      <c r="H39" s="70" t="s">
        <v>20</v>
      </c>
      <c r="I39" s="71"/>
      <c r="J39" s="72"/>
      <c r="K39" s="27" t="s">
        <v>32</v>
      </c>
      <c r="L39" s="2"/>
      <c r="AU39" s="1">
        <v>38</v>
      </c>
    </row>
    <row r="40" spans="2:53" ht="4.5" customHeight="1" x14ac:dyDescent="0.25">
      <c r="B40" s="2"/>
      <c r="C40" s="28"/>
      <c r="D40" s="28"/>
      <c r="E40" s="28"/>
      <c r="F40" s="28"/>
      <c r="G40" s="29"/>
      <c r="H40" s="29"/>
      <c r="I40" s="29"/>
      <c r="J40" s="29"/>
      <c r="K40" s="29"/>
      <c r="L40" s="2"/>
    </row>
    <row r="41" spans="2:53" ht="3.75" customHeight="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AU41" s="1">
        <v>39</v>
      </c>
    </row>
    <row r="42" spans="2:53" x14ac:dyDescent="0.25">
      <c r="AU42" s="1">
        <v>40</v>
      </c>
    </row>
    <row r="43" spans="2:53" x14ac:dyDescent="0.25">
      <c r="AU43" s="1">
        <v>41</v>
      </c>
    </row>
    <row r="44" spans="2:53" x14ac:dyDescent="0.25">
      <c r="AU44" s="1">
        <v>42</v>
      </c>
    </row>
    <row r="45" spans="2:53" x14ac:dyDescent="0.25">
      <c r="AU45" s="1">
        <v>43</v>
      </c>
    </row>
    <row r="46" spans="2:53" x14ac:dyDescent="0.25">
      <c r="AU46" s="1">
        <v>44</v>
      </c>
    </row>
    <row r="47" spans="2:53" x14ac:dyDescent="0.25">
      <c r="AU47" s="1">
        <v>45</v>
      </c>
    </row>
    <row r="48" spans="2:53" x14ac:dyDescent="0.25">
      <c r="AU48" s="1">
        <v>46</v>
      </c>
    </row>
    <row r="49" spans="47:47" x14ac:dyDescent="0.25">
      <c r="AU49" s="1">
        <v>47</v>
      </c>
    </row>
    <row r="50" spans="47:47" x14ac:dyDescent="0.25">
      <c r="AU50" s="1">
        <v>48</v>
      </c>
    </row>
    <row r="51" spans="47:47" x14ac:dyDescent="0.25">
      <c r="AU51" s="1">
        <v>49</v>
      </c>
    </row>
    <row r="52" spans="47:47" x14ac:dyDescent="0.25">
      <c r="AU52" s="1">
        <v>50</v>
      </c>
    </row>
    <row r="53" spans="47:47" x14ac:dyDescent="0.25">
      <c r="AU53" s="1">
        <v>51</v>
      </c>
    </row>
    <row r="54" spans="47:47" x14ac:dyDescent="0.25">
      <c r="AU54" s="1">
        <v>52</v>
      </c>
    </row>
    <row r="55" spans="47:47" x14ac:dyDescent="0.25">
      <c r="AU55" s="1">
        <v>53</v>
      </c>
    </row>
    <row r="56" spans="47:47" x14ac:dyDescent="0.25">
      <c r="AU56" s="1">
        <v>54</v>
      </c>
    </row>
    <row r="57" spans="47:47" x14ac:dyDescent="0.25">
      <c r="AU57" s="1">
        <v>55</v>
      </c>
    </row>
    <row r="58" spans="47:47" x14ac:dyDescent="0.25">
      <c r="AU58" s="1">
        <v>56</v>
      </c>
    </row>
    <row r="59" spans="47:47" x14ac:dyDescent="0.25">
      <c r="AU59" s="1">
        <v>57</v>
      </c>
    </row>
    <row r="60" spans="47:47" x14ac:dyDescent="0.25">
      <c r="AU60" s="1">
        <v>58</v>
      </c>
    </row>
    <row r="61" spans="47:47" x14ac:dyDescent="0.25">
      <c r="AU61" s="1">
        <v>59</v>
      </c>
    </row>
    <row r="62" spans="47:47" x14ac:dyDescent="0.25">
      <c r="AU62" s="1">
        <v>60</v>
      </c>
    </row>
    <row r="63" spans="47:47" x14ac:dyDescent="0.25">
      <c r="AU63" s="1">
        <v>61</v>
      </c>
    </row>
    <row r="64" spans="47:47" x14ac:dyDescent="0.25">
      <c r="AU64" s="1">
        <v>62</v>
      </c>
    </row>
    <row r="65" spans="47:47" x14ac:dyDescent="0.25">
      <c r="AU65" s="1">
        <v>63</v>
      </c>
    </row>
    <row r="66" spans="47:47" x14ac:dyDescent="0.25">
      <c r="AU66" s="1">
        <v>64</v>
      </c>
    </row>
    <row r="67" spans="47:47" x14ac:dyDescent="0.25">
      <c r="AU67" s="1">
        <v>65</v>
      </c>
    </row>
    <row r="68" spans="47:47" x14ac:dyDescent="0.25">
      <c r="AU68" s="1">
        <v>66</v>
      </c>
    </row>
    <row r="69" spans="47:47" x14ac:dyDescent="0.25">
      <c r="AU69" s="1">
        <v>67</v>
      </c>
    </row>
    <row r="70" spans="47:47" x14ac:dyDescent="0.25">
      <c r="AU70" s="1">
        <v>68</v>
      </c>
    </row>
    <row r="71" spans="47:47" x14ac:dyDescent="0.25">
      <c r="AU71" s="1">
        <v>69</v>
      </c>
    </row>
    <row r="72" spans="47:47" x14ac:dyDescent="0.25">
      <c r="AU72" s="1">
        <v>70</v>
      </c>
    </row>
    <row r="73" spans="47:47" x14ac:dyDescent="0.25">
      <c r="AU73" s="1">
        <v>71</v>
      </c>
    </row>
    <row r="74" spans="47:47" x14ac:dyDescent="0.25">
      <c r="AU74" s="1">
        <v>72</v>
      </c>
    </row>
    <row r="75" spans="47:47" x14ac:dyDescent="0.25">
      <c r="AU75" s="1">
        <v>73</v>
      </c>
    </row>
    <row r="76" spans="47:47" x14ac:dyDescent="0.25">
      <c r="AU76" s="1">
        <v>74</v>
      </c>
    </row>
    <row r="77" spans="47:47" x14ac:dyDescent="0.25">
      <c r="AU77" s="1">
        <v>75</v>
      </c>
    </row>
    <row r="78" spans="47:47" x14ac:dyDescent="0.25">
      <c r="AU78" s="1">
        <v>76</v>
      </c>
    </row>
    <row r="79" spans="47:47" x14ac:dyDescent="0.25">
      <c r="AU79" s="1">
        <v>77</v>
      </c>
    </row>
    <row r="80" spans="47:47" x14ac:dyDescent="0.25">
      <c r="AU80" s="1">
        <v>78</v>
      </c>
    </row>
    <row r="81" spans="47:47" x14ac:dyDescent="0.25">
      <c r="AU81" s="1">
        <v>79</v>
      </c>
    </row>
    <row r="82" spans="47:47" x14ac:dyDescent="0.25">
      <c r="AU82" s="1">
        <v>80</v>
      </c>
    </row>
    <row r="83" spans="47:47" x14ac:dyDescent="0.25">
      <c r="AU83" s="1">
        <v>81</v>
      </c>
    </row>
    <row r="84" spans="47:47" x14ac:dyDescent="0.25">
      <c r="AU84" s="1">
        <v>82</v>
      </c>
    </row>
    <row r="85" spans="47:47" x14ac:dyDescent="0.25">
      <c r="AU85" s="1">
        <v>83</v>
      </c>
    </row>
    <row r="86" spans="47:47" x14ac:dyDescent="0.25">
      <c r="AU86" s="1">
        <v>84</v>
      </c>
    </row>
    <row r="87" spans="47:47" x14ac:dyDescent="0.25">
      <c r="AU87" s="1">
        <v>85</v>
      </c>
    </row>
    <row r="88" spans="47:47" x14ac:dyDescent="0.25">
      <c r="AU88" s="1">
        <v>86</v>
      </c>
    </row>
    <row r="89" spans="47:47" x14ac:dyDescent="0.25">
      <c r="AU89" s="1">
        <v>87</v>
      </c>
    </row>
    <row r="90" spans="47:47" x14ac:dyDescent="0.25">
      <c r="AU90" s="1">
        <v>88</v>
      </c>
    </row>
    <row r="91" spans="47:47" x14ac:dyDescent="0.25">
      <c r="AU91" s="1">
        <v>89</v>
      </c>
    </row>
    <row r="92" spans="47:47" x14ac:dyDescent="0.25">
      <c r="AU92" s="1">
        <v>90</v>
      </c>
    </row>
    <row r="93" spans="47:47" x14ac:dyDescent="0.25">
      <c r="AU93" s="1">
        <v>91</v>
      </c>
    </row>
    <row r="94" spans="47:47" x14ac:dyDescent="0.25">
      <c r="AU94" s="1">
        <v>92</v>
      </c>
    </row>
    <row r="95" spans="47:47" x14ac:dyDescent="0.25">
      <c r="AU95" s="1">
        <v>93</v>
      </c>
    </row>
    <row r="96" spans="47:47" x14ac:dyDescent="0.25">
      <c r="AU96" s="1">
        <v>94</v>
      </c>
    </row>
    <row r="97" spans="47:47" x14ac:dyDescent="0.25">
      <c r="AU97" s="1">
        <v>95</v>
      </c>
    </row>
    <row r="98" spans="47:47" x14ac:dyDescent="0.25">
      <c r="AU98" s="1">
        <v>96</v>
      </c>
    </row>
    <row r="99" spans="47:47" x14ac:dyDescent="0.25">
      <c r="AU99" s="1">
        <v>97</v>
      </c>
    </row>
    <row r="100" spans="47:47" x14ac:dyDescent="0.25">
      <c r="AU100" s="1">
        <v>98</v>
      </c>
    </row>
    <row r="101" spans="47:47" x14ac:dyDescent="0.25">
      <c r="AU101" s="1">
        <v>99</v>
      </c>
    </row>
    <row r="102" spans="47:47" x14ac:dyDescent="0.25">
      <c r="AU102" s="1">
        <v>100</v>
      </c>
    </row>
    <row r="103" spans="47:47" x14ac:dyDescent="0.25">
      <c r="AU103" s="1">
        <v>101</v>
      </c>
    </row>
    <row r="104" spans="47:47" x14ac:dyDescent="0.25">
      <c r="AU104" s="1">
        <v>102</v>
      </c>
    </row>
    <row r="105" spans="47:47" x14ac:dyDescent="0.25">
      <c r="AU105" s="1">
        <v>103</v>
      </c>
    </row>
    <row r="106" spans="47:47" x14ac:dyDescent="0.25">
      <c r="AU106" s="1">
        <v>104</v>
      </c>
    </row>
    <row r="107" spans="47:47" x14ac:dyDescent="0.25">
      <c r="AU107" s="1">
        <v>105</v>
      </c>
    </row>
    <row r="108" spans="47:47" x14ac:dyDescent="0.25">
      <c r="AU108" s="1">
        <v>106</v>
      </c>
    </row>
    <row r="109" spans="47:47" x14ac:dyDescent="0.25">
      <c r="AU109" s="1">
        <v>107</v>
      </c>
    </row>
    <row r="110" spans="47:47" x14ac:dyDescent="0.25">
      <c r="AU110" s="1">
        <v>108</v>
      </c>
    </row>
    <row r="111" spans="47:47" x14ac:dyDescent="0.25">
      <c r="AU111" s="1">
        <v>109</v>
      </c>
    </row>
    <row r="112" spans="47:47" x14ac:dyDescent="0.25">
      <c r="AU112" s="1">
        <v>110</v>
      </c>
    </row>
    <row r="113" spans="47:47" x14ac:dyDescent="0.25">
      <c r="AU113" s="1">
        <v>111</v>
      </c>
    </row>
    <row r="114" spans="47:47" x14ac:dyDescent="0.25">
      <c r="AU114" s="1">
        <v>112</v>
      </c>
    </row>
    <row r="115" spans="47:47" x14ac:dyDescent="0.25">
      <c r="AU115" s="1">
        <v>113</v>
      </c>
    </row>
    <row r="116" spans="47:47" x14ac:dyDescent="0.25">
      <c r="AU116" s="1">
        <v>114</v>
      </c>
    </row>
    <row r="117" spans="47:47" x14ac:dyDescent="0.25">
      <c r="AU117" s="1">
        <v>115</v>
      </c>
    </row>
    <row r="118" spans="47:47" x14ac:dyDescent="0.25">
      <c r="AU118" s="1">
        <v>116</v>
      </c>
    </row>
    <row r="119" spans="47:47" x14ac:dyDescent="0.25">
      <c r="AU119" s="1">
        <v>117</v>
      </c>
    </row>
    <row r="120" spans="47:47" x14ac:dyDescent="0.25">
      <c r="AU120" s="1">
        <v>118</v>
      </c>
    </row>
    <row r="121" spans="47:47" x14ac:dyDescent="0.25">
      <c r="AU121" s="1">
        <v>119</v>
      </c>
    </row>
    <row r="122" spans="47:47" x14ac:dyDescent="0.25">
      <c r="AU122" s="1">
        <v>120</v>
      </c>
    </row>
    <row r="123" spans="47:47" x14ac:dyDescent="0.25">
      <c r="AU123" s="1">
        <v>121</v>
      </c>
    </row>
    <row r="124" spans="47:47" x14ac:dyDescent="0.25">
      <c r="AU124" s="1">
        <v>122</v>
      </c>
    </row>
    <row r="125" spans="47:47" x14ac:dyDescent="0.25">
      <c r="AU125" s="1">
        <v>123</v>
      </c>
    </row>
    <row r="126" spans="47:47" x14ac:dyDescent="0.25">
      <c r="AU126" s="1">
        <v>124</v>
      </c>
    </row>
    <row r="127" spans="47:47" x14ac:dyDescent="0.25">
      <c r="AU127" s="1">
        <v>125</v>
      </c>
    </row>
    <row r="128" spans="47:47" x14ac:dyDescent="0.25">
      <c r="AU128" s="1">
        <v>126</v>
      </c>
    </row>
    <row r="129" spans="47:47" x14ac:dyDescent="0.25">
      <c r="AU129" s="1">
        <v>127</v>
      </c>
    </row>
    <row r="130" spans="47:47" x14ac:dyDescent="0.25">
      <c r="AU130" s="1">
        <v>128</v>
      </c>
    </row>
    <row r="131" spans="47:47" x14ac:dyDescent="0.25">
      <c r="AU131" s="1">
        <v>129</v>
      </c>
    </row>
    <row r="132" spans="47:47" x14ac:dyDescent="0.25">
      <c r="AU132" s="1">
        <v>130</v>
      </c>
    </row>
    <row r="133" spans="47:47" x14ac:dyDescent="0.25">
      <c r="AU133" s="1">
        <v>131</v>
      </c>
    </row>
    <row r="134" spans="47:47" x14ac:dyDescent="0.25">
      <c r="AU134" s="1">
        <v>132</v>
      </c>
    </row>
    <row r="135" spans="47:47" x14ac:dyDescent="0.25">
      <c r="AU135" s="1">
        <v>133</v>
      </c>
    </row>
    <row r="136" spans="47:47" x14ac:dyDescent="0.25">
      <c r="AU136" s="1">
        <v>134</v>
      </c>
    </row>
    <row r="137" spans="47:47" x14ac:dyDescent="0.25">
      <c r="AU137" s="1">
        <v>135</v>
      </c>
    </row>
    <row r="138" spans="47:47" x14ac:dyDescent="0.25">
      <c r="AU138" s="1">
        <v>136</v>
      </c>
    </row>
    <row r="139" spans="47:47" x14ac:dyDescent="0.25">
      <c r="AU139" s="1">
        <v>137</v>
      </c>
    </row>
    <row r="140" spans="47:47" x14ac:dyDescent="0.25">
      <c r="AU140" s="1">
        <v>138</v>
      </c>
    </row>
    <row r="141" spans="47:47" x14ac:dyDescent="0.25">
      <c r="AU141" s="1">
        <v>139</v>
      </c>
    </row>
    <row r="142" spans="47:47" x14ac:dyDescent="0.25">
      <c r="AU142" s="1">
        <v>140</v>
      </c>
    </row>
    <row r="143" spans="47:47" x14ac:dyDescent="0.25">
      <c r="AU143" s="1">
        <v>141</v>
      </c>
    </row>
    <row r="144" spans="47:47" x14ac:dyDescent="0.25">
      <c r="AU144" s="1">
        <v>142</v>
      </c>
    </row>
    <row r="145" spans="47:47" x14ac:dyDescent="0.25">
      <c r="AU145" s="1">
        <v>143</v>
      </c>
    </row>
    <row r="146" spans="47:47" x14ac:dyDescent="0.25">
      <c r="AU146" s="1">
        <v>144</v>
      </c>
    </row>
    <row r="147" spans="47:47" x14ac:dyDescent="0.25">
      <c r="AU147" s="1">
        <v>145</v>
      </c>
    </row>
    <row r="148" spans="47:47" x14ac:dyDescent="0.25">
      <c r="AU148" s="1">
        <v>146</v>
      </c>
    </row>
    <row r="149" spans="47:47" x14ac:dyDescent="0.25">
      <c r="AU149" s="1">
        <v>147</v>
      </c>
    </row>
    <row r="150" spans="47:47" x14ac:dyDescent="0.25">
      <c r="AU150" s="1">
        <v>148</v>
      </c>
    </row>
    <row r="151" spans="47:47" x14ac:dyDescent="0.25">
      <c r="AU151" s="1">
        <v>149</v>
      </c>
    </row>
    <row r="152" spans="47:47" x14ac:dyDescent="0.25">
      <c r="AU152" s="1">
        <v>150</v>
      </c>
    </row>
    <row r="153" spans="47:47" x14ac:dyDescent="0.25">
      <c r="AU153" s="1">
        <v>151</v>
      </c>
    </row>
    <row r="154" spans="47:47" x14ac:dyDescent="0.25">
      <c r="AU154" s="1">
        <v>152</v>
      </c>
    </row>
    <row r="155" spans="47:47" x14ac:dyDescent="0.25">
      <c r="AU155" s="1">
        <v>153</v>
      </c>
    </row>
    <row r="156" spans="47:47" x14ac:dyDescent="0.25">
      <c r="AU156" s="1">
        <v>154</v>
      </c>
    </row>
    <row r="157" spans="47:47" x14ac:dyDescent="0.25">
      <c r="AU157" s="1">
        <v>155</v>
      </c>
    </row>
    <row r="158" spans="47:47" x14ac:dyDescent="0.25">
      <c r="AU158" s="1">
        <v>156</v>
      </c>
    </row>
    <row r="159" spans="47:47" x14ac:dyDescent="0.25">
      <c r="AU159" s="1">
        <v>157</v>
      </c>
    </row>
    <row r="160" spans="47:47" x14ac:dyDescent="0.25">
      <c r="AU160" s="1">
        <v>158</v>
      </c>
    </row>
    <row r="161" spans="47:47" x14ac:dyDescent="0.25">
      <c r="AU161" s="1">
        <v>159</v>
      </c>
    </row>
    <row r="162" spans="47:47" x14ac:dyDescent="0.25">
      <c r="AU162" s="1">
        <v>160</v>
      </c>
    </row>
    <row r="163" spans="47:47" x14ac:dyDescent="0.25">
      <c r="AU163" s="1">
        <v>161</v>
      </c>
    </row>
    <row r="164" spans="47:47" x14ac:dyDescent="0.25">
      <c r="AU164" s="1">
        <v>162</v>
      </c>
    </row>
    <row r="165" spans="47:47" x14ac:dyDescent="0.25">
      <c r="AU165" s="1">
        <v>163</v>
      </c>
    </row>
    <row r="166" spans="47:47" x14ac:dyDescent="0.25">
      <c r="AU166" s="1">
        <v>164</v>
      </c>
    </row>
    <row r="167" spans="47:47" x14ac:dyDescent="0.25">
      <c r="AU167" s="1">
        <v>165</v>
      </c>
    </row>
    <row r="168" spans="47:47" x14ac:dyDescent="0.25">
      <c r="AU168" s="1">
        <v>166</v>
      </c>
    </row>
    <row r="169" spans="47:47" x14ac:dyDescent="0.25">
      <c r="AU169" s="1">
        <v>167</v>
      </c>
    </row>
    <row r="170" spans="47:47" x14ac:dyDescent="0.25">
      <c r="AU170" s="1">
        <v>168</v>
      </c>
    </row>
    <row r="171" spans="47:47" x14ac:dyDescent="0.25">
      <c r="AU171" s="1">
        <v>169</v>
      </c>
    </row>
    <row r="172" spans="47:47" x14ac:dyDescent="0.25">
      <c r="AU172" s="1">
        <v>170</v>
      </c>
    </row>
    <row r="173" spans="47:47" x14ac:dyDescent="0.25">
      <c r="AU173" s="1">
        <v>171</v>
      </c>
    </row>
    <row r="174" spans="47:47" x14ac:dyDescent="0.25">
      <c r="AU174" s="1">
        <v>172</v>
      </c>
    </row>
    <row r="175" spans="47:47" x14ac:dyDescent="0.25">
      <c r="AU175" s="1">
        <v>173</v>
      </c>
    </row>
    <row r="176" spans="47:47" x14ac:dyDescent="0.25">
      <c r="AU176" s="1">
        <v>174</v>
      </c>
    </row>
    <row r="177" spans="47:47" x14ac:dyDescent="0.25">
      <c r="AU177" s="1">
        <v>175</v>
      </c>
    </row>
    <row r="178" spans="47:47" x14ac:dyDescent="0.25">
      <c r="AU178" s="1">
        <v>176</v>
      </c>
    </row>
    <row r="179" spans="47:47" x14ac:dyDescent="0.25">
      <c r="AU179" s="1">
        <v>177</v>
      </c>
    </row>
    <row r="180" spans="47:47" x14ac:dyDescent="0.25">
      <c r="AU180" s="1">
        <v>178</v>
      </c>
    </row>
    <row r="181" spans="47:47" x14ac:dyDescent="0.25">
      <c r="AU181" s="1">
        <v>179</v>
      </c>
    </row>
    <row r="182" spans="47:47" x14ac:dyDescent="0.25">
      <c r="AU182" s="1">
        <v>180</v>
      </c>
    </row>
    <row r="183" spans="47:47" x14ac:dyDescent="0.25">
      <c r="AU183" s="1">
        <v>181</v>
      </c>
    </row>
    <row r="184" spans="47:47" x14ac:dyDescent="0.25">
      <c r="AU184" s="1">
        <v>182</v>
      </c>
    </row>
    <row r="185" spans="47:47" x14ac:dyDescent="0.25">
      <c r="AU185" s="1">
        <v>183</v>
      </c>
    </row>
    <row r="186" spans="47:47" x14ac:dyDescent="0.25">
      <c r="AU186" s="1">
        <v>184</v>
      </c>
    </row>
    <row r="187" spans="47:47" x14ac:dyDescent="0.25">
      <c r="AU187" s="1">
        <v>185</v>
      </c>
    </row>
    <row r="188" spans="47:47" x14ac:dyDescent="0.25">
      <c r="AU188" s="1">
        <v>186</v>
      </c>
    </row>
    <row r="189" spans="47:47" x14ac:dyDescent="0.25">
      <c r="AU189" s="1">
        <v>187</v>
      </c>
    </row>
    <row r="190" spans="47:47" x14ac:dyDescent="0.25">
      <c r="AU190" s="1">
        <v>188</v>
      </c>
    </row>
    <row r="191" spans="47:47" x14ac:dyDescent="0.25">
      <c r="AU191" s="1">
        <v>189</v>
      </c>
    </row>
    <row r="192" spans="47:47" x14ac:dyDescent="0.25">
      <c r="AU192" s="1">
        <v>190</v>
      </c>
    </row>
    <row r="193" spans="47:47" x14ac:dyDescent="0.25">
      <c r="AU193" s="1">
        <v>191</v>
      </c>
    </row>
    <row r="194" spans="47:47" x14ac:dyDescent="0.25">
      <c r="AU194" s="1">
        <v>192</v>
      </c>
    </row>
    <row r="195" spans="47:47" x14ac:dyDescent="0.25">
      <c r="AU195" s="1">
        <v>193</v>
      </c>
    </row>
    <row r="196" spans="47:47" x14ac:dyDescent="0.25">
      <c r="AU196" s="1">
        <v>194</v>
      </c>
    </row>
    <row r="197" spans="47:47" x14ac:dyDescent="0.25">
      <c r="AU197" s="1">
        <v>195</v>
      </c>
    </row>
    <row r="198" spans="47:47" x14ac:dyDescent="0.25">
      <c r="AU198" s="1">
        <v>196</v>
      </c>
    </row>
    <row r="199" spans="47:47" x14ac:dyDescent="0.25">
      <c r="AU199" s="1">
        <v>197</v>
      </c>
    </row>
    <row r="200" spans="47:47" x14ac:dyDescent="0.25">
      <c r="AU200" s="1">
        <v>198</v>
      </c>
    </row>
    <row r="201" spans="47:47" x14ac:dyDescent="0.25">
      <c r="AU201" s="1">
        <v>199</v>
      </c>
    </row>
    <row r="202" spans="47:47" x14ac:dyDescent="0.25">
      <c r="AU202" s="1">
        <v>200</v>
      </c>
    </row>
    <row r="203" spans="47:47" x14ac:dyDescent="0.25">
      <c r="AU203" s="1">
        <v>201</v>
      </c>
    </row>
    <row r="204" spans="47:47" x14ac:dyDescent="0.25">
      <c r="AU204" s="1">
        <v>202</v>
      </c>
    </row>
    <row r="205" spans="47:47" x14ac:dyDescent="0.25">
      <c r="AU205" s="1">
        <v>203</v>
      </c>
    </row>
    <row r="206" spans="47:47" x14ac:dyDescent="0.25">
      <c r="AU206" s="1">
        <v>204</v>
      </c>
    </row>
    <row r="207" spans="47:47" x14ac:dyDescent="0.25">
      <c r="AU207" s="1">
        <v>205</v>
      </c>
    </row>
    <row r="208" spans="47:47" x14ac:dyDescent="0.25">
      <c r="AU208" s="1">
        <v>206</v>
      </c>
    </row>
    <row r="209" spans="47:47" x14ac:dyDescent="0.25">
      <c r="AU209" s="1">
        <v>207</v>
      </c>
    </row>
    <row r="210" spans="47:47" x14ac:dyDescent="0.25">
      <c r="AU210" s="1">
        <v>208</v>
      </c>
    </row>
    <row r="211" spans="47:47" x14ac:dyDescent="0.25">
      <c r="AU211" s="1">
        <v>209</v>
      </c>
    </row>
    <row r="212" spans="47:47" x14ac:dyDescent="0.25">
      <c r="AU212" s="1">
        <v>210</v>
      </c>
    </row>
    <row r="213" spans="47:47" x14ac:dyDescent="0.25">
      <c r="AU213" s="1">
        <v>211</v>
      </c>
    </row>
    <row r="214" spans="47:47" x14ac:dyDescent="0.25">
      <c r="AU214" s="1">
        <v>212</v>
      </c>
    </row>
    <row r="215" spans="47:47" x14ac:dyDescent="0.25">
      <c r="AU215" s="1">
        <v>213</v>
      </c>
    </row>
    <row r="216" spans="47:47" x14ac:dyDescent="0.25">
      <c r="AU216" s="1">
        <v>214</v>
      </c>
    </row>
    <row r="217" spans="47:47" x14ac:dyDescent="0.25">
      <c r="AU217" s="1">
        <v>215</v>
      </c>
    </row>
    <row r="218" spans="47:47" x14ac:dyDescent="0.25">
      <c r="AU218" s="1">
        <v>216</v>
      </c>
    </row>
    <row r="219" spans="47:47" x14ac:dyDescent="0.25">
      <c r="AU219" s="1">
        <v>217</v>
      </c>
    </row>
    <row r="220" spans="47:47" x14ac:dyDescent="0.25">
      <c r="AU220" s="1">
        <v>218</v>
      </c>
    </row>
    <row r="221" spans="47:47" x14ac:dyDescent="0.25">
      <c r="AU221" s="1">
        <v>219</v>
      </c>
    </row>
    <row r="222" spans="47:47" x14ac:dyDescent="0.25">
      <c r="AU222" s="1">
        <v>220</v>
      </c>
    </row>
    <row r="223" spans="47:47" x14ac:dyDescent="0.25">
      <c r="AU223" s="1">
        <v>221</v>
      </c>
    </row>
    <row r="224" spans="47:47" x14ac:dyDescent="0.25">
      <c r="AU224" s="1">
        <v>222</v>
      </c>
    </row>
    <row r="225" spans="47:47" x14ac:dyDescent="0.25">
      <c r="AU225" s="1">
        <v>223</v>
      </c>
    </row>
    <row r="226" spans="47:47" x14ac:dyDescent="0.25">
      <c r="AU226" s="1">
        <v>224</v>
      </c>
    </row>
    <row r="227" spans="47:47" x14ac:dyDescent="0.25">
      <c r="AU227" s="1">
        <v>225</v>
      </c>
    </row>
    <row r="228" spans="47:47" x14ac:dyDescent="0.25">
      <c r="AU228" s="1">
        <v>226</v>
      </c>
    </row>
    <row r="229" spans="47:47" x14ac:dyDescent="0.25">
      <c r="AU229" s="1">
        <v>227</v>
      </c>
    </row>
    <row r="230" spans="47:47" x14ac:dyDescent="0.25">
      <c r="AU230" s="1">
        <v>228</v>
      </c>
    </row>
    <row r="231" spans="47:47" x14ac:dyDescent="0.25">
      <c r="AU231" s="1">
        <v>229</v>
      </c>
    </row>
    <row r="232" spans="47:47" x14ac:dyDescent="0.25">
      <c r="AU232" s="1">
        <v>230</v>
      </c>
    </row>
    <row r="233" spans="47:47" x14ac:dyDescent="0.25">
      <c r="AU233" s="1">
        <v>231</v>
      </c>
    </row>
    <row r="234" spans="47:47" x14ac:dyDescent="0.25">
      <c r="AU234" s="1">
        <v>232</v>
      </c>
    </row>
    <row r="235" spans="47:47" x14ac:dyDescent="0.25">
      <c r="AU235" s="1">
        <v>233</v>
      </c>
    </row>
    <row r="236" spans="47:47" x14ac:dyDescent="0.25">
      <c r="AU236" s="1">
        <v>234</v>
      </c>
    </row>
    <row r="237" spans="47:47" x14ac:dyDescent="0.25">
      <c r="AU237" s="1">
        <v>235</v>
      </c>
    </row>
    <row r="238" spans="47:47" x14ac:dyDescent="0.25">
      <c r="AU238" s="1">
        <v>236</v>
      </c>
    </row>
    <row r="239" spans="47:47" x14ac:dyDescent="0.25">
      <c r="AU239" s="1">
        <v>237</v>
      </c>
    </row>
    <row r="240" spans="47:47" x14ac:dyDescent="0.25">
      <c r="AU240" s="1">
        <v>238</v>
      </c>
    </row>
    <row r="241" spans="47:47" x14ac:dyDescent="0.25">
      <c r="AU241" s="1">
        <v>239</v>
      </c>
    </row>
    <row r="242" spans="47:47" x14ac:dyDescent="0.25">
      <c r="AU242" s="1">
        <v>240</v>
      </c>
    </row>
    <row r="243" spans="47:47" x14ac:dyDescent="0.25">
      <c r="AU243" s="1">
        <v>241</v>
      </c>
    </row>
    <row r="244" spans="47:47" x14ac:dyDescent="0.25">
      <c r="AU244" s="1">
        <v>242</v>
      </c>
    </row>
    <row r="245" spans="47:47" x14ac:dyDescent="0.25">
      <c r="AU245" s="1">
        <v>243</v>
      </c>
    </row>
    <row r="246" spans="47:47" x14ac:dyDescent="0.25">
      <c r="AU246" s="1">
        <v>244</v>
      </c>
    </row>
    <row r="247" spans="47:47" x14ac:dyDescent="0.25">
      <c r="AU247" s="1">
        <v>245</v>
      </c>
    </row>
    <row r="248" spans="47:47" x14ac:dyDescent="0.25">
      <c r="AU248" s="1">
        <v>246</v>
      </c>
    </row>
    <row r="249" spans="47:47" x14ac:dyDescent="0.25">
      <c r="AU249" s="1">
        <v>247</v>
      </c>
    </row>
    <row r="250" spans="47:47" x14ac:dyDescent="0.25">
      <c r="AU250" s="1">
        <v>248</v>
      </c>
    </row>
    <row r="251" spans="47:47" x14ac:dyDescent="0.25">
      <c r="AU251" s="1">
        <v>249</v>
      </c>
    </row>
    <row r="252" spans="47:47" x14ac:dyDescent="0.25">
      <c r="AU252" s="1">
        <v>250</v>
      </c>
    </row>
    <row r="253" spans="47:47" x14ac:dyDescent="0.25">
      <c r="AU253" s="1">
        <v>251</v>
      </c>
    </row>
    <row r="254" spans="47:47" x14ac:dyDescent="0.25">
      <c r="AU254" s="1">
        <v>252</v>
      </c>
    </row>
    <row r="255" spans="47:47" x14ac:dyDescent="0.25">
      <c r="AU255" s="1">
        <v>253</v>
      </c>
    </row>
    <row r="256" spans="47:47" x14ac:dyDescent="0.25">
      <c r="AU256" s="1">
        <v>254</v>
      </c>
    </row>
    <row r="257" spans="47:47" x14ac:dyDescent="0.25">
      <c r="AU257" s="1">
        <v>255</v>
      </c>
    </row>
    <row r="258" spans="47:47" x14ac:dyDescent="0.25">
      <c r="AU258" s="1">
        <v>256</v>
      </c>
    </row>
    <row r="259" spans="47:47" x14ac:dyDescent="0.25">
      <c r="AU259" s="1">
        <v>257</v>
      </c>
    </row>
    <row r="260" spans="47:47" x14ac:dyDescent="0.25">
      <c r="AU260" s="1">
        <v>258</v>
      </c>
    </row>
    <row r="261" spans="47:47" x14ac:dyDescent="0.25">
      <c r="AU261" s="1">
        <v>259</v>
      </c>
    </row>
    <row r="262" spans="47:47" x14ac:dyDescent="0.25">
      <c r="AU262" s="1">
        <v>260</v>
      </c>
    </row>
    <row r="263" spans="47:47" x14ac:dyDescent="0.25">
      <c r="AU263" s="1">
        <v>261</v>
      </c>
    </row>
    <row r="264" spans="47:47" x14ac:dyDescent="0.25">
      <c r="AU264" s="1">
        <v>262</v>
      </c>
    </row>
    <row r="265" spans="47:47" x14ac:dyDescent="0.25">
      <c r="AU265" s="1">
        <v>263</v>
      </c>
    </row>
    <row r="266" spans="47:47" x14ac:dyDescent="0.25">
      <c r="AU266" s="1">
        <v>264</v>
      </c>
    </row>
    <row r="267" spans="47:47" x14ac:dyDescent="0.25">
      <c r="AU267" s="1">
        <v>265</v>
      </c>
    </row>
    <row r="268" spans="47:47" x14ac:dyDescent="0.25">
      <c r="AU268" s="1">
        <v>266</v>
      </c>
    </row>
    <row r="269" spans="47:47" x14ac:dyDescent="0.25">
      <c r="AU269" s="1">
        <v>267</v>
      </c>
    </row>
    <row r="270" spans="47:47" x14ac:dyDescent="0.25">
      <c r="AU270" s="1">
        <v>268</v>
      </c>
    </row>
    <row r="271" spans="47:47" x14ac:dyDescent="0.25">
      <c r="AU271" s="1">
        <v>269</v>
      </c>
    </row>
    <row r="272" spans="47:47" x14ac:dyDescent="0.25">
      <c r="AU272" s="1">
        <v>270</v>
      </c>
    </row>
    <row r="273" spans="47:47" x14ac:dyDescent="0.25">
      <c r="AU273" s="1">
        <v>271</v>
      </c>
    </row>
    <row r="274" spans="47:47" x14ac:dyDescent="0.25">
      <c r="AU274" s="1">
        <v>272</v>
      </c>
    </row>
    <row r="275" spans="47:47" x14ac:dyDescent="0.25">
      <c r="AU275" s="1">
        <v>273</v>
      </c>
    </row>
    <row r="276" spans="47:47" x14ac:dyDescent="0.25">
      <c r="AU276" s="1">
        <v>274</v>
      </c>
    </row>
    <row r="277" spans="47:47" x14ac:dyDescent="0.25">
      <c r="AU277" s="1">
        <v>275</v>
      </c>
    </row>
    <row r="278" spans="47:47" x14ac:dyDescent="0.25">
      <c r="AU278" s="1">
        <v>276</v>
      </c>
    </row>
    <row r="279" spans="47:47" x14ac:dyDescent="0.25">
      <c r="AU279" s="1">
        <v>277</v>
      </c>
    </row>
    <row r="280" spans="47:47" x14ac:dyDescent="0.25">
      <c r="AU280" s="1">
        <v>278</v>
      </c>
    </row>
    <row r="281" spans="47:47" x14ac:dyDescent="0.25">
      <c r="AU281" s="1">
        <v>279</v>
      </c>
    </row>
    <row r="282" spans="47:47" x14ac:dyDescent="0.25">
      <c r="AU282" s="1">
        <v>280</v>
      </c>
    </row>
    <row r="283" spans="47:47" x14ac:dyDescent="0.25">
      <c r="AU283" s="1">
        <v>281</v>
      </c>
    </row>
    <row r="284" spans="47:47" x14ac:dyDescent="0.25">
      <c r="AU284" s="1">
        <v>282</v>
      </c>
    </row>
    <row r="285" spans="47:47" x14ac:dyDescent="0.25">
      <c r="AU285" s="1">
        <v>283</v>
      </c>
    </row>
    <row r="286" spans="47:47" x14ac:dyDescent="0.25">
      <c r="AU286" s="1">
        <v>284</v>
      </c>
    </row>
    <row r="287" spans="47:47" x14ac:dyDescent="0.25">
      <c r="AU287" s="1">
        <v>285</v>
      </c>
    </row>
    <row r="288" spans="47:47" x14ac:dyDescent="0.25">
      <c r="AU288" s="1">
        <v>286</v>
      </c>
    </row>
    <row r="289" spans="47:47" x14ac:dyDescent="0.25">
      <c r="AU289" s="1">
        <v>287</v>
      </c>
    </row>
    <row r="290" spans="47:47" x14ac:dyDescent="0.25">
      <c r="AU290" s="1">
        <v>288</v>
      </c>
    </row>
    <row r="291" spans="47:47" x14ac:dyDescent="0.25">
      <c r="AU291" s="1">
        <v>289</v>
      </c>
    </row>
    <row r="292" spans="47:47" x14ac:dyDescent="0.25">
      <c r="AU292" s="1">
        <v>290</v>
      </c>
    </row>
    <row r="293" spans="47:47" x14ac:dyDescent="0.25">
      <c r="AU293" s="1">
        <v>291</v>
      </c>
    </row>
    <row r="294" spans="47:47" x14ac:dyDescent="0.25">
      <c r="AU294" s="1">
        <v>292</v>
      </c>
    </row>
    <row r="295" spans="47:47" x14ac:dyDescent="0.25">
      <c r="AU295" s="1">
        <v>293</v>
      </c>
    </row>
    <row r="296" spans="47:47" x14ac:dyDescent="0.25">
      <c r="AU296" s="1">
        <v>294</v>
      </c>
    </row>
    <row r="297" spans="47:47" x14ac:dyDescent="0.25">
      <c r="AU297" s="1">
        <v>295</v>
      </c>
    </row>
    <row r="298" spans="47:47" x14ac:dyDescent="0.25">
      <c r="AU298" s="1">
        <v>296</v>
      </c>
    </row>
    <row r="299" spans="47:47" x14ac:dyDescent="0.25">
      <c r="AU299" s="1">
        <v>297</v>
      </c>
    </row>
    <row r="300" spans="47:47" x14ac:dyDescent="0.25">
      <c r="AU300" s="1">
        <v>298</v>
      </c>
    </row>
    <row r="301" spans="47:47" x14ac:dyDescent="0.25">
      <c r="AU301" s="1">
        <v>299</v>
      </c>
    </row>
    <row r="302" spans="47:47" x14ac:dyDescent="0.25">
      <c r="AU302" s="1">
        <v>300</v>
      </c>
    </row>
    <row r="303" spans="47:47" x14ac:dyDescent="0.25">
      <c r="AU303" s="1">
        <v>301</v>
      </c>
    </row>
    <row r="304" spans="47:47" x14ac:dyDescent="0.25">
      <c r="AU304" s="1">
        <v>302</v>
      </c>
    </row>
    <row r="305" spans="47:47" x14ac:dyDescent="0.25">
      <c r="AU305" s="1">
        <v>303</v>
      </c>
    </row>
    <row r="306" spans="47:47" x14ac:dyDescent="0.25">
      <c r="AU306" s="1">
        <v>304</v>
      </c>
    </row>
    <row r="307" spans="47:47" x14ac:dyDescent="0.25">
      <c r="AU307" s="1">
        <v>305</v>
      </c>
    </row>
    <row r="308" spans="47:47" x14ac:dyDescent="0.25">
      <c r="AU308" s="1">
        <v>306</v>
      </c>
    </row>
    <row r="309" spans="47:47" x14ac:dyDescent="0.25">
      <c r="AU309" s="1">
        <v>307</v>
      </c>
    </row>
    <row r="310" spans="47:47" x14ac:dyDescent="0.25">
      <c r="AU310" s="1">
        <v>308</v>
      </c>
    </row>
    <row r="311" spans="47:47" x14ac:dyDescent="0.25">
      <c r="AU311" s="1">
        <v>309</v>
      </c>
    </row>
    <row r="312" spans="47:47" x14ac:dyDescent="0.25">
      <c r="AU312" s="1">
        <v>310</v>
      </c>
    </row>
    <row r="313" spans="47:47" x14ac:dyDescent="0.25">
      <c r="AU313" s="1">
        <v>311</v>
      </c>
    </row>
    <row r="314" spans="47:47" x14ac:dyDescent="0.25">
      <c r="AU314" s="1">
        <v>312</v>
      </c>
    </row>
    <row r="315" spans="47:47" x14ac:dyDescent="0.25">
      <c r="AU315" s="1">
        <v>313</v>
      </c>
    </row>
    <row r="316" spans="47:47" x14ac:dyDescent="0.25">
      <c r="AU316" s="1">
        <v>314</v>
      </c>
    </row>
    <row r="317" spans="47:47" x14ac:dyDescent="0.25">
      <c r="AU317" s="1">
        <v>315</v>
      </c>
    </row>
    <row r="318" spans="47:47" x14ac:dyDescent="0.25">
      <c r="AU318" s="1">
        <v>316</v>
      </c>
    </row>
    <row r="319" spans="47:47" x14ac:dyDescent="0.25">
      <c r="AU319" s="1">
        <v>317</v>
      </c>
    </row>
    <row r="320" spans="47:47" x14ac:dyDescent="0.25">
      <c r="AU320" s="1">
        <v>318</v>
      </c>
    </row>
    <row r="321" spans="47:47" x14ac:dyDescent="0.25">
      <c r="AU321" s="1">
        <v>319</v>
      </c>
    </row>
    <row r="322" spans="47:47" x14ac:dyDescent="0.25">
      <c r="AU322" s="1">
        <v>320</v>
      </c>
    </row>
    <row r="323" spans="47:47" x14ac:dyDescent="0.25">
      <c r="AU323" s="1">
        <v>321</v>
      </c>
    </row>
    <row r="324" spans="47:47" x14ac:dyDescent="0.25">
      <c r="AU324" s="1">
        <v>322</v>
      </c>
    </row>
    <row r="325" spans="47:47" x14ac:dyDescent="0.25">
      <c r="AU325" s="1">
        <v>323</v>
      </c>
    </row>
    <row r="326" spans="47:47" x14ac:dyDescent="0.25">
      <c r="AU326" s="1">
        <v>324</v>
      </c>
    </row>
    <row r="327" spans="47:47" x14ac:dyDescent="0.25">
      <c r="AU327" s="1">
        <v>325</v>
      </c>
    </row>
    <row r="328" spans="47:47" x14ac:dyDescent="0.25">
      <c r="AU328" s="1">
        <v>326</v>
      </c>
    </row>
    <row r="329" spans="47:47" x14ac:dyDescent="0.25">
      <c r="AU329" s="1">
        <v>327</v>
      </c>
    </row>
    <row r="330" spans="47:47" x14ac:dyDescent="0.25">
      <c r="AU330" s="1">
        <v>328</v>
      </c>
    </row>
    <row r="331" spans="47:47" x14ac:dyDescent="0.25">
      <c r="AU331" s="1">
        <v>329</v>
      </c>
    </row>
    <row r="332" spans="47:47" x14ac:dyDescent="0.25">
      <c r="AU332" s="1">
        <v>330</v>
      </c>
    </row>
    <row r="333" spans="47:47" x14ac:dyDescent="0.25">
      <c r="AU333" s="1">
        <v>331</v>
      </c>
    </row>
    <row r="334" spans="47:47" x14ac:dyDescent="0.25">
      <c r="AU334" s="1">
        <v>332</v>
      </c>
    </row>
    <row r="335" spans="47:47" x14ac:dyDescent="0.25">
      <c r="AU335" s="1">
        <v>333</v>
      </c>
    </row>
    <row r="336" spans="47:47" x14ac:dyDescent="0.25">
      <c r="AU336" s="1">
        <v>334</v>
      </c>
    </row>
    <row r="337" spans="47:47" x14ac:dyDescent="0.25">
      <c r="AU337" s="1">
        <v>335</v>
      </c>
    </row>
    <row r="338" spans="47:47" x14ac:dyDescent="0.25">
      <c r="AU338" s="1">
        <v>336</v>
      </c>
    </row>
    <row r="339" spans="47:47" x14ac:dyDescent="0.25">
      <c r="AU339" s="1">
        <v>337</v>
      </c>
    </row>
    <row r="340" spans="47:47" x14ac:dyDescent="0.25">
      <c r="AU340" s="1">
        <v>338</v>
      </c>
    </row>
    <row r="341" spans="47:47" x14ac:dyDescent="0.25">
      <c r="AU341" s="1">
        <v>339</v>
      </c>
    </row>
    <row r="342" spans="47:47" x14ac:dyDescent="0.25">
      <c r="AU342" s="1">
        <v>340</v>
      </c>
    </row>
    <row r="343" spans="47:47" x14ac:dyDescent="0.25">
      <c r="AU343" s="1">
        <v>341</v>
      </c>
    </row>
    <row r="344" spans="47:47" x14ac:dyDescent="0.25">
      <c r="AU344" s="1">
        <v>342</v>
      </c>
    </row>
    <row r="345" spans="47:47" x14ac:dyDescent="0.25">
      <c r="AU345" s="1">
        <v>343</v>
      </c>
    </row>
    <row r="346" spans="47:47" x14ac:dyDescent="0.25">
      <c r="AU346" s="1">
        <v>344</v>
      </c>
    </row>
    <row r="347" spans="47:47" x14ac:dyDescent="0.25">
      <c r="AU347" s="1">
        <v>345</v>
      </c>
    </row>
    <row r="348" spans="47:47" x14ac:dyDescent="0.25">
      <c r="AU348" s="1">
        <v>346</v>
      </c>
    </row>
    <row r="349" spans="47:47" x14ac:dyDescent="0.25">
      <c r="AU349" s="1">
        <v>347</v>
      </c>
    </row>
    <row r="350" spans="47:47" x14ac:dyDescent="0.25">
      <c r="AU350" s="1">
        <v>348</v>
      </c>
    </row>
    <row r="351" spans="47:47" x14ac:dyDescent="0.25">
      <c r="AU351" s="1">
        <v>349</v>
      </c>
    </row>
    <row r="352" spans="47:47" x14ac:dyDescent="0.25">
      <c r="AU352" s="1">
        <v>350</v>
      </c>
    </row>
    <row r="353" spans="47:47" x14ac:dyDescent="0.25">
      <c r="AU353" s="1">
        <v>351</v>
      </c>
    </row>
    <row r="354" spans="47:47" x14ac:dyDescent="0.25">
      <c r="AU354" s="1">
        <v>352</v>
      </c>
    </row>
    <row r="355" spans="47:47" x14ac:dyDescent="0.25">
      <c r="AU355" s="1">
        <v>353</v>
      </c>
    </row>
    <row r="356" spans="47:47" x14ac:dyDescent="0.25">
      <c r="AU356" s="1">
        <v>354</v>
      </c>
    </row>
    <row r="357" spans="47:47" x14ac:dyDescent="0.25">
      <c r="AU357" s="1">
        <v>355</v>
      </c>
    </row>
    <row r="358" spans="47:47" x14ac:dyDescent="0.25">
      <c r="AU358" s="1">
        <v>356</v>
      </c>
    </row>
    <row r="359" spans="47:47" x14ac:dyDescent="0.25">
      <c r="AU359" s="1">
        <v>357</v>
      </c>
    </row>
    <row r="360" spans="47:47" x14ac:dyDescent="0.25">
      <c r="AU360" s="1">
        <v>358</v>
      </c>
    </row>
    <row r="361" spans="47:47" x14ac:dyDescent="0.25">
      <c r="AU361" s="1">
        <v>359</v>
      </c>
    </row>
    <row r="362" spans="47:47" x14ac:dyDescent="0.25">
      <c r="AU362" s="1">
        <v>360</v>
      </c>
    </row>
    <row r="363" spans="47:47" x14ac:dyDescent="0.25">
      <c r="AU363" s="1">
        <v>361</v>
      </c>
    </row>
    <row r="364" spans="47:47" x14ac:dyDescent="0.25">
      <c r="AU364" s="1">
        <v>362</v>
      </c>
    </row>
    <row r="365" spans="47:47" x14ac:dyDescent="0.25">
      <c r="AU365" s="1">
        <v>363</v>
      </c>
    </row>
    <row r="366" spans="47:47" x14ac:dyDescent="0.25">
      <c r="AU366" s="1">
        <v>364</v>
      </c>
    </row>
    <row r="367" spans="47:47" x14ac:dyDescent="0.25">
      <c r="AU367" s="1">
        <v>365</v>
      </c>
    </row>
    <row r="368" spans="47:47" x14ac:dyDescent="0.25">
      <c r="AU368" s="1">
        <v>366</v>
      </c>
    </row>
    <row r="369" spans="47:47" x14ac:dyDescent="0.25">
      <c r="AU369" s="1">
        <v>367</v>
      </c>
    </row>
    <row r="370" spans="47:47" x14ac:dyDescent="0.25">
      <c r="AU370" s="1">
        <v>368</v>
      </c>
    </row>
    <row r="371" spans="47:47" x14ac:dyDescent="0.25">
      <c r="AU371" s="1">
        <v>369</v>
      </c>
    </row>
    <row r="372" spans="47:47" x14ac:dyDescent="0.25">
      <c r="AU372" s="1">
        <v>370</v>
      </c>
    </row>
    <row r="373" spans="47:47" x14ac:dyDescent="0.25">
      <c r="AU373" s="1">
        <v>371</v>
      </c>
    </row>
    <row r="374" spans="47:47" x14ac:dyDescent="0.25">
      <c r="AU374" s="1">
        <v>372</v>
      </c>
    </row>
    <row r="375" spans="47:47" x14ac:dyDescent="0.25">
      <c r="AU375" s="1">
        <v>373</v>
      </c>
    </row>
    <row r="376" spans="47:47" x14ac:dyDescent="0.25">
      <c r="AU376" s="1">
        <v>374</v>
      </c>
    </row>
    <row r="377" spans="47:47" x14ac:dyDescent="0.25">
      <c r="AU377" s="1">
        <v>375</v>
      </c>
    </row>
    <row r="378" spans="47:47" x14ac:dyDescent="0.25">
      <c r="AU378" s="1">
        <v>376</v>
      </c>
    </row>
    <row r="379" spans="47:47" x14ac:dyDescent="0.25">
      <c r="AU379" s="1">
        <v>377</v>
      </c>
    </row>
    <row r="380" spans="47:47" x14ac:dyDescent="0.25">
      <c r="AU380" s="1">
        <v>378</v>
      </c>
    </row>
    <row r="381" spans="47:47" x14ac:dyDescent="0.25">
      <c r="AU381" s="1">
        <v>379</v>
      </c>
    </row>
    <row r="382" spans="47:47" x14ac:dyDescent="0.25">
      <c r="AU382" s="1">
        <v>380</v>
      </c>
    </row>
    <row r="383" spans="47:47" x14ac:dyDescent="0.25">
      <c r="AU383" s="1">
        <v>381</v>
      </c>
    </row>
    <row r="384" spans="47:47" x14ac:dyDescent="0.25">
      <c r="AU384" s="1">
        <v>382</v>
      </c>
    </row>
    <row r="385" spans="47:47" x14ac:dyDescent="0.25">
      <c r="AU385" s="1">
        <v>383</v>
      </c>
    </row>
    <row r="386" spans="47:47" x14ac:dyDescent="0.25">
      <c r="AU386" s="1">
        <v>384</v>
      </c>
    </row>
    <row r="387" spans="47:47" x14ac:dyDescent="0.25">
      <c r="AU387" s="1">
        <v>385</v>
      </c>
    </row>
    <row r="388" spans="47:47" x14ac:dyDescent="0.25">
      <c r="AU388" s="1">
        <v>386</v>
      </c>
    </row>
    <row r="389" spans="47:47" x14ac:dyDescent="0.25">
      <c r="AU389" s="1">
        <v>387</v>
      </c>
    </row>
    <row r="390" spans="47:47" x14ac:dyDescent="0.25">
      <c r="AU390" s="1">
        <v>388</v>
      </c>
    </row>
    <row r="391" spans="47:47" x14ac:dyDescent="0.25">
      <c r="AU391" s="1">
        <v>389</v>
      </c>
    </row>
    <row r="392" spans="47:47" x14ac:dyDescent="0.25">
      <c r="AU392" s="1">
        <v>390</v>
      </c>
    </row>
    <row r="393" spans="47:47" x14ac:dyDescent="0.25">
      <c r="AU393" s="1">
        <v>391</v>
      </c>
    </row>
    <row r="394" spans="47:47" x14ac:dyDescent="0.25">
      <c r="AU394" s="1">
        <v>392</v>
      </c>
    </row>
    <row r="395" spans="47:47" x14ac:dyDescent="0.25">
      <c r="AU395" s="1">
        <v>393</v>
      </c>
    </row>
    <row r="396" spans="47:47" x14ac:dyDescent="0.25">
      <c r="AU396" s="1">
        <v>394</v>
      </c>
    </row>
    <row r="397" spans="47:47" x14ac:dyDescent="0.25">
      <c r="AU397" s="1">
        <v>395</v>
      </c>
    </row>
    <row r="398" spans="47:47" x14ac:dyDescent="0.25">
      <c r="AU398" s="1">
        <v>396</v>
      </c>
    </row>
    <row r="399" spans="47:47" x14ac:dyDescent="0.25">
      <c r="AU399" s="1">
        <v>397</v>
      </c>
    </row>
    <row r="400" spans="47:47" x14ac:dyDescent="0.25">
      <c r="AU400" s="1">
        <v>398</v>
      </c>
    </row>
    <row r="401" spans="47:47" x14ac:dyDescent="0.25">
      <c r="AU401" s="1">
        <v>399</v>
      </c>
    </row>
    <row r="402" spans="47:47" x14ac:dyDescent="0.25">
      <c r="AU402" s="1">
        <v>400</v>
      </c>
    </row>
    <row r="403" spans="47:47" x14ac:dyDescent="0.25">
      <c r="AU403" s="1">
        <v>401</v>
      </c>
    </row>
    <row r="404" spans="47:47" x14ac:dyDescent="0.25">
      <c r="AU404" s="1">
        <v>402</v>
      </c>
    </row>
    <row r="405" spans="47:47" x14ac:dyDescent="0.25">
      <c r="AU405" s="1">
        <v>403</v>
      </c>
    </row>
    <row r="406" spans="47:47" x14ac:dyDescent="0.25">
      <c r="AU406" s="1">
        <v>404</v>
      </c>
    </row>
    <row r="407" spans="47:47" x14ac:dyDescent="0.25">
      <c r="AU407" s="1">
        <v>405</v>
      </c>
    </row>
    <row r="408" spans="47:47" x14ac:dyDescent="0.25">
      <c r="AU408" s="1">
        <v>406</v>
      </c>
    </row>
    <row r="409" spans="47:47" x14ac:dyDescent="0.25">
      <c r="AU409" s="1">
        <v>407</v>
      </c>
    </row>
    <row r="410" spans="47:47" x14ac:dyDescent="0.25">
      <c r="AU410" s="1">
        <v>408</v>
      </c>
    </row>
    <row r="411" spans="47:47" x14ac:dyDescent="0.25">
      <c r="AU411" s="1">
        <v>409</v>
      </c>
    </row>
    <row r="412" spans="47:47" x14ac:dyDescent="0.25">
      <c r="AU412" s="1">
        <v>410</v>
      </c>
    </row>
    <row r="413" spans="47:47" x14ac:dyDescent="0.25">
      <c r="AU413" s="1">
        <v>411</v>
      </c>
    </row>
    <row r="414" spans="47:47" x14ac:dyDescent="0.25">
      <c r="AU414" s="1">
        <v>412</v>
      </c>
    </row>
    <row r="415" spans="47:47" x14ac:dyDescent="0.25">
      <c r="AU415" s="1">
        <v>413</v>
      </c>
    </row>
    <row r="416" spans="47:47" x14ac:dyDescent="0.25">
      <c r="AU416" s="1">
        <v>414</v>
      </c>
    </row>
    <row r="417" spans="47:47" x14ac:dyDescent="0.25">
      <c r="AU417" s="1">
        <v>415</v>
      </c>
    </row>
    <row r="418" spans="47:47" x14ac:dyDescent="0.25">
      <c r="AU418" s="1">
        <v>416</v>
      </c>
    </row>
    <row r="419" spans="47:47" x14ac:dyDescent="0.25">
      <c r="AU419" s="1">
        <v>417</v>
      </c>
    </row>
    <row r="420" spans="47:47" x14ac:dyDescent="0.25">
      <c r="AU420" s="1">
        <v>418</v>
      </c>
    </row>
    <row r="421" spans="47:47" x14ac:dyDescent="0.25">
      <c r="AU421" s="1">
        <v>419</v>
      </c>
    </row>
    <row r="422" spans="47:47" x14ac:dyDescent="0.25">
      <c r="AU422" s="1">
        <v>420</v>
      </c>
    </row>
    <row r="423" spans="47:47" x14ac:dyDescent="0.25">
      <c r="AU423" s="1">
        <v>421</v>
      </c>
    </row>
    <row r="424" spans="47:47" x14ac:dyDescent="0.25">
      <c r="AU424" s="1">
        <v>422</v>
      </c>
    </row>
    <row r="425" spans="47:47" x14ac:dyDescent="0.25">
      <c r="AU425" s="1">
        <v>423</v>
      </c>
    </row>
    <row r="426" spans="47:47" x14ac:dyDescent="0.25">
      <c r="AU426" s="1">
        <v>424</v>
      </c>
    </row>
    <row r="427" spans="47:47" x14ac:dyDescent="0.25">
      <c r="AU427" s="1">
        <v>425</v>
      </c>
    </row>
    <row r="428" spans="47:47" x14ac:dyDescent="0.25">
      <c r="AU428" s="1">
        <v>426</v>
      </c>
    </row>
    <row r="429" spans="47:47" x14ac:dyDescent="0.25">
      <c r="AU429" s="1">
        <v>427</v>
      </c>
    </row>
    <row r="430" spans="47:47" x14ac:dyDescent="0.25">
      <c r="AU430" s="1">
        <v>428</v>
      </c>
    </row>
    <row r="431" spans="47:47" x14ac:dyDescent="0.25">
      <c r="AU431" s="1">
        <v>429</v>
      </c>
    </row>
    <row r="432" spans="47:47" x14ac:dyDescent="0.25">
      <c r="AU432" s="1">
        <v>430</v>
      </c>
    </row>
    <row r="433" spans="47:47" x14ac:dyDescent="0.25">
      <c r="AU433" s="1">
        <v>431</v>
      </c>
    </row>
    <row r="434" spans="47:47" x14ac:dyDescent="0.25">
      <c r="AU434" s="1">
        <v>432</v>
      </c>
    </row>
    <row r="435" spans="47:47" x14ac:dyDescent="0.25">
      <c r="AU435" s="1">
        <v>433</v>
      </c>
    </row>
    <row r="436" spans="47:47" x14ac:dyDescent="0.25">
      <c r="AU436" s="1">
        <v>434</v>
      </c>
    </row>
    <row r="437" spans="47:47" x14ac:dyDescent="0.25">
      <c r="AU437" s="1">
        <v>435</v>
      </c>
    </row>
    <row r="438" spans="47:47" x14ac:dyDescent="0.25">
      <c r="AU438" s="1">
        <v>436</v>
      </c>
    </row>
    <row r="439" spans="47:47" x14ac:dyDescent="0.25">
      <c r="AU439" s="1">
        <v>437</v>
      </c>
    </row>
    <row r="440" spans="47:47" x14ac:dyDescent="0.25">
      <c r="AU440" s="1">
        <v>438</v>
      </c>
    </row>
    <row r="441" spans="47:47" x14ac:dyDescent="0.25">
      <c r="AU441" s="1">
        <v>439</v>
      </c>
    </row>
    <row r="442" spans="47:47" x14ac:dyDescent="0.25">
      <c r="AU442" s="1">
        <v>440</v>
      </c>
    </row>
    <row r="443" spans="47:47" x14ac:dyDescent="0.25">
      <c r="AU443" s="1">
        <v>441</v>
      </c>
    </row>
    <row r="444" spans="47:47" x14ac:dyDescent="0.25">
      <c r="AU444" s="1">
        <v>442</v>
      </c>
    </row>
    <row r="445" spans="47:47" x14ac:dyDescent="0.25">
      <c r="AU445" s="1">
        <v>443</v>
      </c>
    </row>
    <row r="446" spans="47:47" x14ac:dyDescent="0.25">
      <c r="AU446" s="1">
        <v>444</v>
      </c>
    </row>
    <row r="447" spans="47:47" x14ac:dyDescent="0.25">
      <c r="AU447" s="1">
        <v>445</v>
      </c>
    </row>
    <row r="448" spans="47:47" x14ac:dyDescent="0.25">
      <c r="AU448" s="1">
        <v>446</v>
      </c>
    </row>
    <row r="449" spans="47:47" x14ac:dyDescent="0.25">
      <c r="AU449" s="1">
        <v>447</v>
      </c>
    </row>
    <row r="450" spans="47:47" x14ac:dyDescent="0.25">
      <c r="AU450" s="1">
        <v>448</v>
      </c>
    </row>
    <row r="451" spans="47:47" x14ac:dyDescent="0.25">
      <c r="AU451" s="1">
        <v>449</v>
      </c>
    </row>
    <row r="452" spans="47:47" x14ac:dyDescent="0.25">
      <c r="AU452" s="1">
        <v>450</v>
      </c>
    </row>
    <row r="453" spans="47:47" x14ac:dyDescent="0.25">
      <c r="AU453" s="1">
        <v>451</v>
      </c>
    </row>
    <row r="454" spans="47:47" x14ac:dyDescent="0.25">
      <c r="AU454" s="1">
        <v>452</v>
      </c>
    </row>
    <row r="455" spans="47:47" x14ac:dyDescent="0.25">
      <c r="AU455" s="1">
        <v>453</v>
      </c>
    </row>
    <row r="456" spans="47:47" x14ac:dyDescent="0.25">
      <c r="AU456" s="1">
        <v>454</v>
      </c>
    </row>
    <row r="457" spans="47:47" x14ac:dyDescent="0.25">
      <c r="AU457" s="1">
        <v>455</v>
      </c>
    </row>
    <row r="458" spans="47:47" x14ac:dyDescent="0.25">
      <c r="AU458" s="1">
        <v>456</v>
      </c>
    </row>
    <row r="459" spans="47:47" x14ac:dyDescent="0.25">
      <c r="AU459" s="1">
        <v>457</v>
      </c>
    </row>
    <row r="460" spans="47:47" x14ac:dyDescent="0.25">
      <c r="AU460" s="1">
        <v>458</v>
      </c>
    </row>
    <row r="461" spans="47:47" x14ac:dyDescent="0.25">
      <c r="AU461" s="1">
        <v>459</v>
      </c>
    </row>
    <row r="462" spans="47:47" x14ac:dyDescent="0.25">
      <c r="AU462" s="1">
        <v>460</v>
      </c>
    </row>
    <row r="463" spans="47:47" x14ac:dyDescent="0.25">
      <c r="AU463" s="1">
        <v>461</v>
      </c>
    </row>
    <row r="464" spans="47:47" x14ac:dyDescent="0.25">
      <c r="AU464" s="1">
        <v>462</v>
      </c>
    </row>
    <row r="465" spans="47:47" x14ac:dyDescent="0.25">
      <c r="AU465" s="1">
        <v>463</v>
      </c>
    </row>
    <row r="466" spans="47:47" x14ac:dyDescent="0.25">
      <c r="AU466" s="1">
        <v>464</v>
      </c>
    </row>
    <row r="467" spans="47:47" x14ac:dyDescent="0.25">
      <c r="AU467" s="1">
        <v>465</v>
      </c>
    </row>
    <row r="468" spans="47:47" x14ac:dyDescent="0.25">
      <c r="AU468" s="1">
        <v>466</v>
      </c>
    </row>
    <row r="469" spans="47:47" x14ac:dyDescent="0.25">
      <c r="AU469" s="1">
        <v>467</v>
      </c>
    </row>
    <row r="470" spans="47:47" x14ac:dyDescent="0.25">
      <c r="AU470" s="1">
        <v>468</v>
      </c>
    </row>
    <row r="471" spans="47:47" x14ac:dyDescent="0.25">
      <c r="AU471" s="1">
        <v>469</v>
      </c>
    </row>
    <row r="472" spans="47:47" x14ac:dyDescent="0.25">
      <c r="AU472" s="1">
        <v>470</v>
      </c>
    </row>
    <row r="473" spans="47:47" x14ac:dyDescent="0.25">
      <c r="AU473" s="1">
        <v>471</v>
      </c>
    </row>
    <row r="474" spans="47:47" x14ac:dyDescent="0.25">
      <c r="AU474" s="1">
        <v>472</v>
      </c>
    </row>
    <row r="475" spans="47:47" x14ac:dyDescent="0.25">
      <c r="AU475" s="1">
        <v>473</v>
      </c>
    </row>
    <row r="476" spans="47:47" x14ac:dyDescent="0.25">
      <c r="AU476" s="1">
        <v>474</v>
      </c>
    </row>
    <row r="477" spans="47:47" x14ac:dyDescent="0.25">
      <c r="AU477" s="1">
        <v>475</v>
      </c>
    </row>
    <row r="478" spans="47:47" x14ac:dyDescent="0.25">
      <c r="AU478" s="1">
        <v>476</v>
      </c>
    </row>
    <row r="479" spans="47:47" x14ac:dyDescent="0.25">
      <c r="AU479" s="1">
        <v>477</v>
      </c>
    </row>
    <row r="480" spans="47:47" x14ac:dyDescent="0.25">
      <c r="AU480" s="1">
        <v>478</v>
      </c>
    </row>
    <row r="481" spans="47:47" x14ac:dyDescent="0.25">
      <c r="AU481" s="1">
        <v>479</v>
      </c>
    </row>
    <row r="482" spans="47:47" x14ac:dyDescent="0.25">
      <c r="AU482" s="1">
        <v>480</v>
      </c>
    </row>
    <row r="483" spans="47:47" x14ac:dyDescent="0.25">
      <c r="AU483" s="1">
        <v>481</v>
      </c>
    </row>
    <row r="484" spans="47:47" x14ac:dyDescent="0.25">
      <c r="AU484" s="1">
        <v>482</v>
      </c>
    </row>
    <row r="485" spans="47:47" x14ac:dyDescent="0.25">
      <c r="AU485" s="1">
        <v>483</v>
      </c>
    </row>
    <row r="486" spans="47:47" x14ac:dyDescent="0.25">
      <c r="AU486" s="1">
        <v>484</v>
      </c>
    </row>
    <row r="487" spans="47:47" x14ac:dyDescent="0.25">
      <c r="AU487" s="1">
        <v>485</v>
      </c>
    </row>
    <row r="488" spans="47:47" x14ac:dyDescent="0.25">
      <c r="AU488" s="1">
        <v>486</v>
      </c>
    </row>
    <row r="489" spans="47:47" x14ac:dyDescent="0.25">
      <c r="AU489" s="1">
        <v>487</v>
      </c>
    </row>
    <row r="490" spans="47:47" x14ac:dyDescent="0.25">
      <c r="AU490" s="1">
        <v>488</v>
      </c>
    </row>
    <row r="491" spans="47:47" x14ac:dyDescent="0.25">
      <c r="AU491" s="1">
        <v>489</v>
      </c>
    </row>
    <row r="492" spans="47:47" x14ac:dyDescent="0.25">
      <c r="AU492" s="1">
        <v>490</v>
      </c>
    </row>
    <row r="493" spans="47:47" x14ac:dyDescent="0.25">
      <c r="AU493" s="1">
        <v>491</v>
      </c>
    </row>
    <row r="494" spans="47:47" x14ac:dyDescent="0.25">
      <c r="AU494" s="1">
        <v>492</v>
      </c>
    </row>
    <row r="495" spans="47:47" x14ac:dyDescent="0.25">
      <c r="AU495" s="1">
        <v>493</v>
      </c>
    </row>
    <row r="496" spans="47:47" x14ac:dyDescent="0.25">
      <c r="AU496" s="1">
        <v>494</v>
      </c>
    </row>
    <row r="497" spans="47:47" x14ac:dyDescent="0.25">
      <c r="AU497" s="1">
        <v>495</v>
      </c>
    </row>
    <row r="498" spans="47:47" x14ac:dyDescent="0.25">
      <c r="AU498" s="1">
        <v>496</v>
      </c>
    </row>
    <row r="499" spans="47:47" x14ac:dyDescent="0.25">
      <c r="AU499" s="1">
        <v>497</v>
      </c>
    </row>
    <row r="500" spans="47:47" x14ac:dyDescent="0.25">
      <c r="AU500" s="1">
        <v>498</v>
      </c>
    </row>
    <row r="501" spans="47:47" x14ac:dyDescent="0.25">
      <c r="AU501" s="1">
        <v>499</v>
      </c>
    </row>
    <row r="502" spans="47:47" x14ac:dyDescent="0.25">
      <c r="AU502" s="1">
        <v>500</v>
      </c>
    </row>
    <row r="503" spans="47:47" x14ac:dyDescent="0.25">
      <c r="AU503" s="1">
        <v>501</v>
      </c>
    </row>
    <row r="504" spans="47:47" x14ac:dyDescent="0.25">
      <c r="AU504" s="1">
        <v>502</v>
      </c>
    </row>
    <row r="505" spans="47:47" x14ac:dyDescent="0.25">
      <c r="AU505" s="1">
        <v>503</v>
      </c>
    </row>
    <row r="506" spans="47:47" x14ac:dyDescent="0.25">
      <c r="AU506" s="1">
        <v>504</v>
      </c>
    </row>
    <row r="507" spans="47:47" x14ac:dyDescent="0.25">
      <c r="AU507" s="1">
        <v>505</v>
      </c>
    </row>
    <row r="508" spans="47:47" x14ac:dyDescent="0.25">
      <c r="AU508" s="1">
        <v>506</v>
      </c>
    </row>
    <row r="509" spans="47:47" x14ac:dyDescent="0.25">
      <c r="AU509" s="1">
        <v>507</v>
      </c>
    </row>
    <row r="510" spans="47:47" x14ac:dyDescent="0.25">
      <c r="AU510" s="1">
        <v>508</v>
      </c>
    </row>
    <row r="511" spans="47:47" x14ac:dyDescent="0.25">
      <c r="AU511" s="1">
        <v>509</v>
      </c>
    </row>
    <row r="512" spans="47:47" x14ac:dyDescent="0.25">
      <c r="AU512" s="1">
        <v>510</v>
      </c>
    </row>
    <row r="513" spans="47:47" x14ac:dyDescent="0.25">
      <c r="AU513" s="1">
        <v>511</v>
      </c>
    </row>
    <row r="514" spans="47:47" x14ac:dyDescent="0.25">
      <c r="AU514" s="1">
        <v>512</v>
      </c>
    </row>
    <row r="515" spans="47:47" x14ac:dyDescent="0.25">
      <c r="AU515" s="1">
        <v>513</v>
      </c>
    </row>
    <row r="516" spans="47:47" x14ac:dyDescent="0.25">
      <c r="AU516" s="1">
        <v>514</v>
      </c>
    </row>
    <row r="517" spans="47:47" x14ac:dyDescent="0.25">
      <c r="AU517" s="1">
        <v>515</v>
      </c>
    </row>
    <row r="518" spans="47:47" x14ac:dyDescent="0.25">
      <c r="AU518" s="1">
        <v>516</v>
      </c>
    </row>
    <row r="519" spans="47:47" x14ac:dyDescent="0.25">
      <c r="AU519" s="1">
        <v>517</v>
      </c>
    </row>
    <row r="520" spans="47:47" x14ac:dyDescent="0.25">
      <c r="AU520" s="1">
        <v>518</v>
      </c>
    </row>
    <row r="521" spans="47:47" x14ac:dyDescent="0.25">
      <c r="AU521" s="1">
        <v>519</v>
      </c>
    </row>
    <row r="522" spans="47:47" x14ac:dyDescent="0.25">
      <c r="AU522" s="1">
        <v>520</v>
      </c>
    </row>
    <row r="523" spans="47:47" x14ac:dyDescent="0.25">
      <c r="AU523" s="1">
        <v>521</v>
      </c>
    </row>
    <row r="524" spans="47:47" x14ac:dyDescent="0.25">
      <c r="AU524" s="1">
        <v>522</v>
      </c>
    </row>
    <row r="525" spans="47:47" x14ac:dyDescent="0.25">
      <c r="AU525" s="1">
        <v>523</v>
      </c>
    </row>
    <row r="526" spans="47:47" x14ac:dyDescent="0.25">
      <c r="AU526" s="1">
        <v>524</v>
      </c>
    </row>
    <row r="527" spans="47:47" x14ac:dyDescent="0.25">
      <c r="AU527" s="1">
        <v>525</v>
      </c>
    </row>
    <row r="528" spans="47:47" x14ac:dyDescent="0.25">
      <c r="AU528" s="1">
        <v>526</v>
      </c>
    </row>
    <row r="529" spans="47:47" x14ac:dyDescent="0.25">
      <c r="AU529" s="1">
        <v>527</v>
      </c>
    </row>
    <row r="530" spans="47:47" x14ac:dyDescent="0.25">
      <c r="AU530" s="1">
        <v>528</v>
      </c>
    </row>
    <row r="531" spans="47:47" x14ac:dyDescent="0.25">
      <c r="AU531" s="1">
        <v>529</v>
      </c>
    </row>
    <row r="532" spans="47:47" x14ac:dyDescent="0.25">
      <c r="AU532" s="1">
        <v>530</v>
      </c>
    </row>
    <row r="533" spans="47:47" x14ac:dyDescent="0.25">
      <c r="AU533" s="1">
        <v>531</v>
      </c>
    </row>
    <row r="534" spans="47:47" x14ac:dyDescent="0.25">
      <c r="AU534" s="1">
        <v>532</v>
      </c>
    </row>
    <row r="535" spans="47:47" x14ac:dyDescent="0.25">
      <c r="AU535" s="1">
        <v>533</v>
      </c>
    </row>
    <row r="536" spans="47:47" x14ac:dyDescent="0.25">
      <c r="AU536" s="1">
        <v>534</v>
      </c>
    </row>
    <row r="537" spans="47:47" x14ac:dyDescent="0.25">
      <c r="AU537" s="1">
        <v>535</v>
      </c>
    </row>
    <row r="538" spans="47:47" x14ac:dyDescent="0.25">
      <c r="AU538" s="1">
        <v>536</v>
      </c>
    </row>
    <row r="539" spans="47:47" x14ac:dyDescent="0.25">
      <c r="AU539" s="1">
        <v>537</v>
      </c>
    </row>
    <row r="540" spans="47:47" x14ac:dyDescent="0.25">
      <c r="AU540" s="1">
        <v>538</v>
      </c>
    </row>
    <row r="541" spans="47:47" x14ac:dyDescent="0.25">
      <c r="AU541" s="1">
        <v>539</v>
      </c>
    </row>
    <row r="542" spans="47:47" x14ac:dyDescent="0.25">
      <c r="AU542" s="1">
        <v>540</v>
      </c>
    </row>
    <row r="543" spans="47:47" x14ac:dyDescent="0.25">
      <c r="AU543" s="1">
        <v>541</v>
      </c>
    </row>
    <row r="544" spans="47:47" x14ac:dyDescent="0.25">
      <c r="AU544" s="1">
        <v>542</v>
      </c>
    </row>
    <row r="545" spans="47:47" x14ac:dyDescent="0.25">
      <c r="AU545" s="1">
        <v>543</v>
      </c>
    </row>
    <row r="546" spans="47:47" x14ac:dyDescent="0.25">
      <c r="AU546" s="1">
        <v>544</v>
      </c>
    </row>
    <row r="547" spans="47:47" x14ac:dyDescent="0.25">
      <c r="AU547" s="1">
        <v>545</v>
      </c>
    </row>
    <row r="548" spans="47:47" x14ac:dyDescent="0.25">
      <c r="AU548" s="1">
        <v>546</v>
      </c>
    </row>
    <row r="549" spans="47:47" x14ac:dyDescent="0.25">
      <c r="AU549" s="1">
        <v>547</v>
      </c>
    </row>
    <row r="550" spans="47:47" x14ac:dyDescent="0.25">
      <c r="AU550" s="1">
        <v>548</v>
      </c>
    </row>
    <row r="551" spans="47:47" x14ac:dyDescent="0.25">
      <c r="AU551" s="1">
        <v>549</v>
      </c>
    </row>
    <row r="552" spans="47:47" x14ac:dyDescent="0.25">
      <c r="AU552" s="1">
        <v>550</v>
      </c>
    </row>
    <row r="553" spans="47:47" x14ac:dyDescent="0.25">
      <c r="AU553" s="1">
        <v>551</v>
      </c>
    </row>
    <row r="554" spans="47:47" x14ac:dyDescent="0.25">
      <c r="AU554" s="1">
        <v>552</v>
      </c>
    </row>
    <row r="555" spans="47:47" x14ac:dyDescent="0.25">
      <c r="AU555" s="1">
        <v>553</v>
      </c>
    </row>
    <row r="556" spans="47:47" x14ac:dyDescent="0.25">
      <c r="AU556" s="1">
        <v>554</v>
      </c>
    </row>
    <row r="557" spans="47:47" x14ac:dyDescent="0.25">
      <c r="AU557" s="1">
        <v>555</v>
      </c>
    </row>
    <row r="558" spans="47:47" x14ac:dyDescent="0.25">
      <c r="AU558" s="1">
        <v>556</v>
      </c>
    </row>
    <row r="559" spans="47:47" x14ac:dyDescent="0.25">
      <c r="AU559" s="1">
        <v>557</v>
      </c>
    </row>
    <row r="560" spans="47:47" x14ac:dyDescent="0.25">
      <c r="AU560" s="1">
        <v>558</v>
      </c>
    </row>
    <row r="561" spans="47:47" x14ac:dyDescent="0.25">
      <c r="AU561" s="1">
        <v>559</v>
      </c>
    </row>
    <row r="562" spans="47:47" x14ac:dyDescent="0.25">
      <c r="AU562" s="1">
        <v>560</v>
      </c>
    </row>
    <row r="563" spans="47:47" x14ac:dyDescent="0.25">
      <c r="AU563" s="1">
        <v>561</v>
      </c>
    </row>
    <row r="564" spans="47:47" x14ac:dyDescent="0.25">
      <c r="AU564" s="1">
        <v>562</v>
      </c>
    </row>
    <row r="565" spans="47:47" x14ac:dyDescent="0.25">
      <c r="AU565" s="1">
        <v>563</v>
      </c>
    </row>
    <row r="566" spans="47:47" x14ac:dyDescent="0.25">
      <c r="AU566" s="1">
        <v>564</v>
      </c>
    </row>
    <row r="567" spans="47:47" x14ac:dyDescent="0.25">
      <c r="AU567" s="1">
        <v>565</v>
      </c>
    </row>
    <row r="568" spans="47:47" x14ac:dyDescent="0.25">
      <c r="AU568" s="1">
        <v>566</v>
      </c>
    </row>
    <row r="569" spans="47:47" x14ac:dyDescent="0.25">
      <c r="AU569" s="1">
        <v>567</v>
      </c>
    </row>
    <row r="570" spans="47:47" x14ac:dyDescent="0.25">
      <c r="AU570" s="1">
        <v>568</v>
      </c>
    </row>
    <row r="571" spans="47:47" x14ac:dyDescent="0.25">
      <c r="AU571" s="1">
        <v>569</v>
      </c>
    </row>
    <row r="572" spans="47:47" x14ac:dyDescent="0.25">
      <c r="AU572" s="1">
        <v>570</v>
      </c>
    </row>
    <row r="573" spans="47:47" x14ac:dyDescent="0.25">
      <c r="AU573" s="1">
        <v>571</v>
      </c>
    </row>
    <row r="574" spans="47:47" x14ac:dyDescent="0.25">
      <c r="AU574" s="1">
        <v>572</v>
      </c>
    </row>
    <row r="575" spans="47:47" x14ac:dyDescent="0.25">
      <c r="AU575" s="1">
        <v>573</v>
      </c>
    </row>
    <row r="576" spans="47:47" x14ac:dyDescent="0.25">
      <c r="AU576" s="1">
        <v>574</v>
      </c>
    </row>
    <row r="577" spans="47:47" x14ac:dyDescent="0.25">
      <c r="AU577" s="1">
        <v>575</v>
      </c>
    </row>
    <row r="578" spans="47:47" x14ac:dyDescent="0.25">
      <c r="AU578" s="1">
        <v>576</v>
      </c>
    </row>
    <row r="579" spans="47:47" x14ac:dyDescent="0.25">
      <c r="AU579" s="1">
        <v>577</v>
      </c>
    </row>
    <row r="580" spans="47:47" x14ac:dyDescent="0.25">
      <c r="AU580" s="1">
        <v>578</v>
      </c>
    </row>
    <row r="581" spans="47:47" x14ac:dyDescent="0.25">
      <c r="AU581" s="1">
        <v>579</v>
      </c>
    </row>
    <row r="582" spans="47:47" x14ac:dyDescent="0.25">
      <c r="AU582" s="1">
        <v>580</v>
      </c>
    </row>
    <row r="583" spans="47:47" x14ac:dyDescent="0.25">
      <c r="AU583" s="1">
        <v>581</v>
      </c>
    </row>
    <row r="584" spans="47:47" x14ac:dyDescent="0.25">
      <c r="AU584" s="1">
        <v>582</v>
      </c>
    </row>
    <row r="585" spans="47:47" x14ac:dyDescent="0.25">
      <c r="AU585" s="1">
        <v>583</v>
      </c>
    </row>
    <row r="586" spans="47:47" x14ac:dyDescent="0.25">
      <c r="AU586" s="1">
        <v>584</v>
      </c>
    </row>
    <row r="587" spans="47:47" x14ac:dyDescent="0.25">
      <c r="AU587" s="1">
        <v>585</v>
      </c>
    </row>
    <row r="588" spans="47:47" x14ac:dyDescent="0.25">
      <c r="AU588" s="1">
        <v>586</v>
      </c>
    </row>
    <row r="589" spans="47:47" x14ac:dyDescent="0.25">
      <c r="AU589" s="1">
        <v>587</v>
      </c>
    </row>
    <row r="590" spans="47:47" x14ac:dyDescent="0.25">
      <c r="AU590" s="1">
        <v>588</v>
      </c>
    </row>
    <row r="591" spans="47:47" x14ac:dyDescent="0.25">
      <c r="AU591" s="1">
        <v>589</v>
      </c>
    </row>
    <row r="592" spans="47:47" x14ac:dyDescent="0.25">
      <c r="AU592" s="1">
        <v>590</v>
      </c>
    </row>
    <row r="593" spans="47:47" x14ac:dyDescent="0.25">
      <c r="AU593" s="1">
        <v>591</v>
      </c>
    </row>
    <row r="594" spans="47:47" x14ac:dyDescent="0.25">
      <c r="AU594" s="1">
        <v>592</v>
      </c>
    </row>
    <row r="595" spans="47:47" x14ac:dyDescent="0.25">
      <c r="AU595" s="1">
        <v>593</v>
      </c>
    </row>
    <row r="596" spans="47:47" x14ac:dyDescent="0.25">
      <c r="AU596" s="1">
        <v>594</v>
      </c>
    </row>
    <row r="597" spans="47:47" x14ac:dyDescent="0.25">
      <c r="AU597" s="1">
        <v>595</v>
      </c>
    </row>
    <row r="598" spans="47:47" x14ac:dyDescent="0.25">
      <c r="AU598" s="1">
        <v>596</v>
      </c>
    </row>
    <row r="599" spans="47:47" x14ac:dyDescent="0.25">
      <c r="AU599" s="1">
        <v>597</v>
      </c>
    </row>
    <row r="600" spans="47:47" x14ac:dyDescent="0.25">
      <c r="AU600" s="1">
        <v>598</v>
      </c>
    </row>
    <row r="601" spans="47:47" x14ac:dyDescent="0.25">
      <c r="AU601" s="1">
        <v>599</v>
      </c>
    </row>
    <row r="602" spans="47:47" x14ac:dyDescent="0.25">
      <c r="AU602" s="1">
        <v>600</v>
      </c>
    </row>
    <row r="603" spans="47:47" x14ac:dyDescent="0.25">
      <c r="AU603" s="1">
        <v>601</v>
      </c>
    </row>
    <row r="604" spans="47:47" x14ac:dyDescent="0.25">
      <c r="AU604" s="1">
        <v>602</v>
      </c>
    </row>
    <row r="605" spans="47:47" x14ac:dyDescent="0.25">
      <c r="AU605" s="1">
        <v>603</v>
      </c>
    </row>
    <row r="606" spans="47:47" x14ac:dyDescent="0.25">
      <c r="AU606" s="1">
        <v>604</v>
      </c>
    </row>
    <row r="607" spans="47:47" x14ac:dyDescent="0.25">
      <c r="AU607" s="1">
        <v>605</v>
      </c>
    </row>
    <row r="608" spans="47:47" x14ac:dyDescent="0.25">
      <c r="AU608" s="1">
        <v>606</v>
      </c>
    </row>
    <row r="609" spans="47:47" x14ac:dyDescent="0.25">
      <c r="AU609" s="1">
        <v>607</v>
      </c>
    </row>
    <row r="610" spans="47:47" x14ac:dyDescent="0.25">
      <c r="AU610" s="1">
        <v>608</v>
      </c>
    </row>
    <row r="611" spans="47:47" x14ac:dyDescent="0.25">
      <c r="AU611" s="1">
        <v>609</v>
      </c>
    </row>
    <row r="612" spans="47:47" x14ac:dyDescent="0.25">
      <c r="AU612" s="1">
        <v>610</v>
      </c>
    </row>
    <row r="613" spans="47:47" x14ac:dyDescent="0.25">
      <c r="AU613" s="1">
        <v>611</v>
      </c>
    </row>
    <row r="614" spans="47:47" x14ac:dyDescent="0.25">
      <c r="AU614" s="1">
        <v>612</v>
      </c>
    </row>
    <row r="615" spans="47:47" x14ac:dyDescent="0.25">
      <c r="AU615" s="1">
        <v>613</v>
      </c>
    </row>
    <row r="616" spans="47:47" x14ac:dyDescent="0.25">
      <c r="AU616" s="1">
        <v>614</v>
      </c>
    </row>
    <row r="617" spans="47:47" x14ac:dyDescent="0.25">
      <c r="AU617" s="1">
        <v>615</v>
      </c>
    </row>
    <row r="618" spans="47:47" x14ac:dyDescent="0.25">
      <c r="AU618" s="1">
        <v>616</v>
      </c>
    </row>
    <row r="619" spans="47:47" x14ac:dyDescent="0.25">
      <c r="AU619" s="1">
        <v>617</v>
      </c>
    </row>
    <row r="620" spans="47:47" x14ac:dyDescent="0.25">
      <c r="AU620" s="1">
        <v>618</v>
      </c>
    </row>
    <row r="621" spans="47:47" x14ac:dyDescent="0.25">
      <c r="AU621" s="1">
        <v>619</v>
      </c>
    </row>
    <row r="622" spans="47:47" x14ac:dyDescent="0.25">
      <c r="AU622" s="1">
        <v>620</v>
      </c>
    </row>
    <row r="623" spans="47:47" x14ac:dyDescent="0.25">
      <c r="AU623" s="1">
        <v>621</v>
      </c>
    </row>
    <row r="624" spans="47:47" x14ac:dyDescent="0.25">
      <c r="AU624" s="1">
        <v>622</v>
      </c>
    </row>
    <row r="625" spans="47:47" x14ac:dyDescent="0.25">
      <c r="AU625" s="1">
        <v>623</v>
      </c>
    </row>
    <row r="626" spans="47:47" x14ac:dyDescent="0.25">
      <c r="AU626" s="1">
        <v>624</v>
      </c>
    </row>
    <row r="627" spans="47:47" x14ac:dyDescent="0.25">
      <c r="AU627" s="1">
        <v>625</v>
      </c>
    </row>
    <row r="628" spans="47:47" x14ac:dyDescent="0.25">
      <c r="AU628" s="1">
        <v>626</v>
      </c>
    </row>
    <row r="629" spans="47:47" x14ac:dyDescent="0.25">
      <c r="AU629" s="1">
        <v>627</v>
      </c>
    </row>
    <row r="630" spans="47:47" x14ac:dyDescent="0.25">
      <c r="AU630" s="1">
        <v>628</v>
      </c>
    </row>
    <row r="631" spans="47:47" x14ac:dyDescent="0.25">
      <c r="AU631" s="1">
        <v>629</v>
      </c>
    </row>
    <row r="632" spans="47:47" x14ac:dyDescent="0.25">
      <c r="AU632" s="1">
        <v>630</v>
      </c>
    </row>
    <row r="633" spans="47:47" x14ac:dyDescent="0.25">
      <c r="AU633" s="1">
        <v>631</v>
      </c>
    </row>
    <row r="634" spans="47:47" x14ac:dyDescent="0.25">
      <c r="AU634" s="1">
        <v>632</v>
      </c>
    </row>
    <row r="635" spans="47:47" x14ac:dyDescent="0.25">
      <c r="AU635" s="1">
        <v>633</v>
      </c>
    </row>
    <row r="636" spans="47:47" x14ac:dyDescent="0.25">
      <c r="AU636" s="1">
        <v>634</v>
      </c>
    </row>
    <row r="637" spans="47:47" x14ac:dyDescent="0.25">
      <c r="AU637" s="1">
        <v>635</v>
      </c>
    </row>
    <row r="638" spans="47:47" x14ac:dyDescent="0.25">
      <c r="AU638" s="1">
        <v>636</v>
      </c>
    </row>
    <row r="639" spans="47:47" x14ac:dyDescent="0.25">
      <c r="AU639" s="1">
        <v>637</v>
      </c>
    </row>
    <row r="640" spans="47:47" x14ac:dyDescent="0.25">
      <c r="AU640" s="1">
        <v>638</v>
      </c>
    </row>
    <row r="641" spans="47:47" x14ac:dyDescent="0.25">
      <c r="AU641" s="1">
        <v>639</v>
      </c>
    </row>
    <row r="642" spans="47:47" x14ac:dyDescent="0.25">
      <c r="AU642" s="1">
        <v>640</v>
      </c>
    </row>
    <row r="643" spans="47:47" x14ac:dyDescent="0.25">
      <c r="AU643" s="1">
        <v>641</v>
      </c>
    </row>
    <row r="644" spans="47:47" x14ac:dyDescent="0.25">
      <c r="AU644" s="1">
        <v>642</v>
      </c>
    </row>
    <row r="645" spans="47:47" x14ac:dyDescent="0.25">
      <c r="AU645" s="1">
        <v>643</v>
      </c>
    </row>
    <row r="646" spans="47:47" x14ac:dyDescent="0.25">
      <c r="AU646" s="1">
        <v>644</v>
      </c>
    </row>
    <row r="647" spans="47:47" x14ac:dyDescent="0.25">
      <c r="AU647" s="1">
        <v>645</v>
      </c>
    </row>
    <row r="648" spans="47:47" x14ac:dyDescent="0.25">
      <c r="AU648" s="1">
        <v>646</v>
      </c>
    </row>
    <row r="649" spans="47:47" x14ac:dyDescent="0.25">
      <c r="AU649" s="1">
        <v>647</v>
      </c>
    </row>
    <row r="650" spans="47:47" x14ac:dyDescent="0.25">
      <c r="AU650" s="1">
        <v>648</v>
      </c>
    </row>
    <row r="651" spans="47:47" x14ac:dyDescent="0.25">
      <c r="AU651" s="1">
        <v>649</v>
      </c>
    </row>
    <row r="652" spans="47:47" x14ac:dyDescent="0.25">
      <c r="AU652" s="1">
        <v>650</v>
      </c>
    </row>
    <row r="653" spans="47:47" x14ac:dyDescent="0.25">
      <c r="AU653" s="1">
        <v>651</v>
      </c>
    </row>
    <row r="654" spans="47:47" x14ac:dyDescent="0.25">
      <c r="AU654" s="1">
        <v>652</v>
      </c>
    </row>
    <row r="655" spans="47:47" x14ac:dyDescent="0.25">
      <c r="AU655" s="1">
        <v>653</v>
      </c>
    </row>
    <row r="656" spans="47:47" x14ac:dyDescent="0.25">
      <c r="AU656" s="1">
        <v>654</v>
      </c>
    </row>
    <row r="657" spans="47:47" x14ac:dyDescent="0.25">
      <c r="AU657" s="1">
        <v>655</v>
      </c>
    </row>
    <row r="658" spans="47:47" x14ac:dyDescent="0.25">
      <c r="AU658" s="1">
        <v>656</v>
      </c>
    </row>
    <row r="659" spans="47:47" x14ac:dyDescent="0.25">
      <c r="AU659" s="1">
        <v>657</v>
      </c>
    </row>
    <row r="660" spans="47:47" x14ac:dyDescent="0.25">
      <c r="AU660" s="1">
        <v>658</v>
      </c>
    </row>
    <row r="661" spans="47:47" x14ac:dyDescent="0.25">
      <c r="AU661" s="1">
        <v>659</v>
      </c>
    </row>
    <row r="662" spans="47:47" x14ac:dyDescent="0.25">
      <c r="AU662" s="1">
        <v>660</v>
      </c>
    </row>
    <row r="663" spans="47:47" x14ac:dyDescent="0.25">
      <c r="AU663" s="1">
        <v>661</v>
      </c>
    </row>
    <row r="664" spans="47:47" x14ac:dyDescent="0.25">
      <c r="AU664" s="1">
        <v>662</v>
      </c>
    </row>
    <row r="665" spans="47:47" x14ac:dyDescent="0.25">
      <c r="AU665" s="1">
        <v>663</v>
      </c>
    </row>
    <row r="666" spans="47:47" x14ac:dyDescent="0.25">
      <c r="AU666" s="1">
        <v>664</v>
      </c>
    </row>
    <row r="667" spans="47:47" x14ac:dyDescent="0.25">
      <c r="AU667" s="1">
        <v>665</v>
      </c>
    </row>
    <row r="668" spans="47:47" x14ac:dyDescent="0.25">
      <c r="AU668" s="1">
        <v>666</v>
      </c>
    </row>
    <row r="669" spans="47:47" x14ac:dyDescent="0.25">
      <c r="AU669" s="1">
        <v>667</v>
      </c>
    </row>
    <row r="670" spans="47:47" x14ac:dyDescent="0.25">
      <c r="AU670" s="1">
        <v>668</v>
      </c>
    </row>
    <row r="671" spans="47:47" x14ac:dyDescent="0.25">
      <c r="AU671" s="1">
        <v>669</v>
      </c>
    </row>
    <row r="672" spans="47:47" x14ac:dyDescent="0.25">
      <c r="AU672" s="1">
        <v>670</v>
      </c>
    </row>
    <row r="673" spans="47:47" x14ac:dyDescent="0.25">
      <c r="AU673" s="1">
        <v>671</v>
      </c>
    </row>
    <row r="674" spans="47:47" x14ac:dyDescent="0.25">
      <c r="AU674" s="1">
        <v>672</v>
      </c>
    </row>
    <row r="675" spans="47:47" x14ac:dyDescent="0.25">
      <c r="AU675" s="1">
        <v>673</v>
      </c>
    </row>
    <row r="676" spans="47:47" x14ac:dyDescent="0.25">
      <c r="AU676" s="1">
        <v>674</v>
      </c>
    </row>
    <row r="677" spans="47:47" x14ac:dyDescent="0.25">
      <c r="AU677" s="1">
        <v>675</v>
      </c>
    </row>
    <row r="678" spans="47:47" x14ac:dyDescent="0.25">
      <c r="AU678" s="1">
        <v>676</v>
      </c>
    </row>
    <row r="679" spans="47:47" x14ac:dyDescent="0.25">
      <c r="AU679" s="1">
        <v>677</v>
      </c>
    </row>
    <row r="680" spans="47:47" x14ac:dyDescent="0.25">
      <c r="AU680" s="1">
        <v>678</v>
      </c>
    </row>
    <row r="681" spans="47:47" x14ac:dyDescent="0.25">
      <c r="AU681" s="1">
        <v>679</v>
      </c>
    </row>
    <row r="682" spans="47:47" x14ac:dyDescent="0.25">
      <c r="AU682" s="1">
        <v>680</v>
      </c>
    </row>
    <row r="683" spans="47:47" x14ac:dyDescent="0.25">
      <c r="AU683" s="1">
        <v>681</v>
      </c>
    </row>
    <row r="684" spans="47:47" x14ac:dyDescent="0.25">
      <c r="AU684" s="1">
        <v>682</v>
      </c>
    </row>
    <row r="685" spans="47:47" x14ac:dyDescent="0.25">
      <c r="AU685" s="1">
        <v>683</v>
      </c>
    </row>
    <row r="686" spans="47:47" x14ac:dyDescent="0.25">
      <c r="AU686" s="1">
        <v>684</v>
      </c>
    </row>
    <row r="687" spans="47:47" x14ac:dyDescent="0.25">
      <c r="AU687" s="1">
        <v>685</v>
      </c>
    </row>
    <row r="688" spans="47:47" x14ac:dyDescent="0.25">
      <c r="AU688" s="1">
        <v>686</v>
      </c>
    </row>
    <row r="689" spans="47:47" x14ac:dyDescent="0.25">
      <c r="AU689" s="1">
        <v>687</v>
      </c>
    </row>
    <row r="690" spans="47:47" x14ac:dyDescent="0.25">
      <c r="AU690" s="1">
        <v>688</v>
      </c>
    </row>
    <row r="691" spans="47:47" x14ac:dyDescent="0.25">
      <c r="AU691" s="1">
        <v>689</v>
      </c>
    </row>
    <row r="692" spans="47:47" x14ac:dyDescent="0.25">
      <c r="AU692" s="1">
        <v>690</v>
      </c>
    </row>
    <row r="693" spans="47:47" x14ac:dyDescent="0.25">
      <c r="AU693" s="1">
        <v>691</v>
      </c>
    </row>
    <row r="694" spans="47:47" x14ac:dyDescent="0.25">
      <c r="AU694" s="1">
        <v>692</v>
      </c>
    </row>
    <row r="695" spans="47:47" x14ac:dyDescent="0.25">
      <c r="AU695" s="1">
        <v>693</v>
      </c>
    </row>
    <row r="696" spans="47:47" x14ac:dyDescent="0.25">
      <c r="AU696" s="1">
        <v>694</v>
      </c>
    </row>
    <row r="697" spans="47:47" x14ac:dyDescent="0.25">
      <c r="AU697" s="1">
        <v>695</v>
      </c>
    </row>
    <row r="698" spans="47:47" x14ac:dyDescent="0.25">
      <c r="AU698" s="1">
        <v>696</v>
      </c>
    </row>
    <row r="699" spans="47:47" x14ac:dyDescent="0.25">
      <c r="AU699" s="1">
        <v>697</v>
      </c>
    </row>
    <row r="700" spans="47:47" x14ac:dyDescent="0.25">
      <c r="AU700" s="1">
        <v>698</v>
      </c>
    </row>
    <row r="701" spans="47:47" x14ac:dyDescent="0.25">
      <c r="AU701" s="1">
        <v>699</v>
      </c>
    </row>
    <row r="702" spans="47:47" x14ac:dyDescent="0.25">
      <c r="AU702" s="1">
        <v>700</v>
      </c>
    </row>
    <row r="703" spans="47:47" x14ac:dyDescent="0.25">
      <c r="AU703" s="1">
        <v>701</v>
      </c>
    </row>
    <row r="704" spans="47:47" x14ac:dyDescent="0.25">
      <c r="AU704" s="1">
        <v>702</v>
      </c>
    </row>
    <row r="705" spans="47:47" x14ac:dyDescent="0.25">
      <c r="AU705" s="1">
        <v>703</v>
      </c>
    </row>
    <row r="706" spans="47:47" x14ac:dyDescent="0.25">
      <c r="AU706" s="1">
        <v>704</v>
      </c>
    </row>
    <row r="707" spans="47:47" x14ac:dyDescent="0.25">
      <c r="AU707" s="1">
        <v>705</v>
      </c>
    </row>
    <row r="708" spans="47:47" x14ac:dyDescent="0.25">
      <c r="AU708" s="1">
        <v>706</v>
      </c>
    </row>
    <row r="709" spans="47:47" x14ac:dyDescent="0.25">
      <c r="AU709" s="1">
        <v>707</v>
      </c>
    </row>
    <row r="710" spans="47:47" x14ac:dyDescent="0.25">
      <c r="AU710" s="1">
        <v>708</v>
      </c>
    </row>
    <row r="711" spans="47:47" x14ac:dyDescent="0.25">
      <c r="AU711" s="1">
        <v>709</v>
      </c>
    </row>
    <row r="712" spans="47:47" x14ac:dyDescent="0.25">
      <c r="AU712" s="1">
        <v>710</v>
      </c>
    </row>
    <row r="713" spans="47:47" x14ac:dyDescent="0.25">
      <c r="AU713" s="1">
        <v>711</v>
      </c>
    </row>
    <row r="714" spans="47:47" x14ac:dyDescent="0.25">
      <c r="AU714" s="1">
        <v>712</v>
      </c>
    </row>
    <row r="715" spans="47:47" x14ac:dyDescent="0.25">
      <c r="AU715" s="1">
        <v>713</v>
      </c>
    </row>
    <row r="716" spans="47:47" x14ac:dyDescent="0.25">
      <c r="AU716" s="1">
        <v>714</v>
      </c>
    </row>
    <row r="717" spans="47:47" x14ac:dyDescent="0.25">
      <c r="AU717" s="1">
        <v>715</v>
      </c>
    </row>
    <row r="718" spans="47:47" x14ac:dyDescent="0.25">
      <c r="AU718" s="1">
        <v>716</v>
      </c>
    </row>
    <row r="719" spans="47:47" x14ac:dyDescent="0.25">
      <c r="AU719" s="1">
        <v>717</v>
      </c>
    </row>
    <row r="720" spans="47:47" x14ac:dyDescent="0.25">
      <c r="AU720" s="1">
        <v>718</v>
      </c>
    </row>
    <row r="721" spans="47:47" x14ac:dyDescent="0.25">
      <c r="AU721" s="1">
        <v>719</v>
      </c>
    </row>
    <row r="722" spans="47:47" x14ac:dyDescent="0.25">
      <c r="AU722" s="1">
        <v>720</v>
      </c>
    </row>
    <row r="723" spans="47:47" x14ac:dyDescent="0.25">
      <c r="AU723" s="1">
        <v>721</v>
      </c>
    </row>
    <row r="724" spans="47:47" x14ac:dyDescent="0.25">
      <c r="AU724" s="1">
        <v>722</v>
      </c>
    </row>
    <row r="725" spans="47:47" x14ac:dyDescent="0.25">
      <c r="AU725" s="1">
        <v>723</v>
      </c>
    </row>
    <row r="726" spans="47:47" x14ac:dyDescent="0.25">
      <c r="AU726" s="1">
        <v>724</v>
      </c>
    </row>
    <row r="727" spans="47:47" x14ac:dyDescent="0.25">
      <c r="AU727" s="1">
        <v>725</v>
      </c>
    </row>
    <row r="728" spans="47:47" x14ac:dyDescent="0.25">
      <c r="AU728" s="1">
        <v>726</v>
      </c>
    </row>
    <row r="729" spans="47:47" x14ac:dyDescent="0.25">
      <c r="AU729" s="1">
        <v>727</v>
      </c>
    </row>
    <row r="730" spans="47:47" x14ac:dyDescent="0.25">
      <c r="AU730" s="1">
        <v>728</v>
      </c>
    </row>
    <row r="731" spans="47:47" x14ac:dyDescent="0.25">
      <c r="AU731" s="1">
        <v>729</v>
      </c>
    </row>
    <row r="732" spans="47:47" x14ac:dyDescent="0.25">
      <c r="AU732" s="1">
        <v>730</v>
      </c>
    </row>
    <row r="733" spans="47:47" x14ac:dyDescent="0.25">
      <c r="AU733" s="1">
        <v>731</v>
      </c>
    </row>
    <row r="734" spans="47:47" x14ac:dyDescent="0.25">
      <c r="AU734" s="1">
        <v>732</v>
      </c>
    </row>
    <row r="735" spans="47:47" x14ac:dyDescent="0.25">
      <c r="AU735" s="1">
        <v>733</v>
      </c>
    </row>
    <row r="736" spans="47:47" x14ac:dyDescent="0.25">
      <c r="AU736" s="1">
        <v>734</v>
      </c>
    </row>
    <row r="737" spans="47:47" x14ac:dyDescent="0.25">
      <c r="AU737" s="1">
        <v>735</v>
      </c>
    </row>
    <row r="738" spans="47:47" x14ac:dyDescent="0.25">
      <c r="AU738" s="1">
        <v>736</v>
      </c>
    </row>
    <row r="739" spans="47:47" x14ac:dyDescent="0.25">
      <c r="AU739" s="1">
        <v>737</v>
      </c>
    </row>
    <row r="740" spans="47:47" x14ac:dyDescent="0.25">
      <c r="AU740" s="1">
        <v>738</v>
      </c>
    </row>
    <row r="741" spans="47:47" x14ac:dyDescent="0.25">
      <c r="AU741" s="1">
        <v>739</v>
      </c>
    </row>
    <row r="742" spans="47:47" x14ac:dyDescent="0.25">
      <c r="AU742" s="1">
        <v>740</v>
      </c>
    </row>
    <row r="743" spans="47:47" x14ac:dyDescent="0.25">
      <c r="AU743" s="1">
        <v>741</v>
      </c>
    </row>
    <row r="744" spans="47:47" x14ac:dyDescent="0.25">
      <c r="AU744" s="1">
        <v>742</v>
      </c>
    </row>
    <row r="745" spans="47:47" x14ac:dyDescent="0.25">
      <c r="AU745" s="1">
        <v>743</v>
      </c>
    </row>
    <row r="746" spans="47:47" x14ac:dyDescent="0.25">
      <c r="AU746" s="1">
        <v>744</v>
      </c>
    </row>
    <row r="747" spans="47:47" x14ac:dyDescent="0.25">
      <c r="AU747" s="1">
        <v>745</v>
      </c>
    </row>
    <row r="748" spans="47:47" x14ac:dyDescent="0.25">
      <c r="AU748" s="1">
        <v>746</v>
      </c>
    </row>
    <row r="749" spans="47:47" x14ac:dyDescent="0.25">
      <c r="AU749" s="1">
        <v>747</v>
      </c>
    </row>
    <row r="750" spans="47:47" x14ac:dyDescent="0.25">
      <c r="AU750" s="1">
        <v>748</v>
      </c>
    </row>
    <row r="751" spans="47:47" x14ac:dyDescent="0.25">
      <c r="AU751" s="1">
        <v>749</v>
      </c>
    </row>
    <row r="752" spans="47:47" x14ac:dyDescent="0.25">
      <c r="AU752" s="1">
        <v>750</v>
      </c>
    </row>
    <row r="753" spans="47:47" x14ac:dyDescent="0.25">
      <c r="AU753" s="1">
        <v>751</v>
      </c>
    </row>
    <row r="754" spans="47:47" x14ac:dyDescent="0.25">
      <c r="AU754" s="1">
        <v>752</v>
      </c>
    </row>
    <row r="755" spans="47:47" x14ac:dyDescent="0.25">
      <c r="AU755" s="1">
        <v>753</v>
      </c>
    </row>
    <row r="756" spans="47:47" x14ac:dyDescent="0.25">
      <c r="AU756" s="1">
        <v>754</v>
      </c>
    </row>
    <row r="757" spans="47:47" x14ac:dyDescent="0.25">
      <c r="AU757" s="1">
        <v>755</v>
      </c>
    </row>
    <row r="758" spans="47:47" x14ac:dyDescent="0.25">
      <c r="AU758" s="1">
        <v>756</v>
      </c>
    </row>
    <row r="759" spans="47:47" x14ac:dyDescent="0.25">
      <c r="AU759" s="1">
        <v>757</v>
      </c>
    </row>
    <row r="760" spans="47:47" x14ac:dyDescent="0.25">
      <c r="AU760" s="1">
        <v>758</v>
      </c>
    </row>
    <row r="761" spans="47:47" x14ac:dyDescent="0.25">
      <c r="AU761" s="1">
        <v>759</v>
      </c>
    </row>
    <row r="762" spans="47:47" x14ac:dyDescent="0.25">
      <c r="AU762" s="1">
        <v>760</v>
      </c>
    </row>
    <row r="763" spans="47:47" x14ac:dyDescent="0.25">
      <c r="AU763" s="1">
        <v>761</v>
      </c>
    </row>
    <row r="764" spans="47:47" x14ac:dyDescent="0.25">
      <c r="AU764" s="1">
        <v>762</v>
      </c>
    </row>
    <row r="765" spans="47:47" x14ac:dyDescent="0.25">
      <c r="AU765" s="1">
        <v>763</v>
      </c>
    </row>
    <row r="766" spans="47:47" x14ac:dyDescent="0.25">
      <c r="AU766" s="1">
        <v>764</v>
      </c>
    </row>
    <row r="767" spans="47:47" x14ac:dyDescent="0.25">
      <c r="AU767" s="1">
        <v>765</v>
      </c>
    </row>
    <row r="768" spans="47:47" x14ac:dyDescent="0.25">
      <c r="AU768" s="1">
        <v>766</v>
      </c>
    </row>
    <row r="769" spans="47:47" x14ac:dyDescent="0.25">
      <c r="AU769" s="1">
        <v>767</v>
      </c>
    </row>
    <row r="770" spans="47:47" x14ac:dyDescent="0.25">
      <c r="AU770" s="1">
        <v>768</v>
      </c>
    </row>
    <row r="771" spans="47:47" x14ac:dyDescent="0.25">
      <c r="AU771" s="1">
        <v>769</v>
      </c>
    </row>
    <row r="772" spans="47:47" x14ac:dyDescent="0.25">
      <c r="AU772" s="1">
        <v>770</v>
      </c>
    </row>
    <row r="773" spans="47:47" x14ac:dyDescent="0.25">
      <c r="AU773" s="1">
        <v>771</v>
      </c>
    </row>
    <row r="774" spans="47:47" x14ac:dyDescent="0.25">
      <c r="AU774" s="1">
        <v>772</v>
      </c>
    </row>
    <row r="775" spans="47:47" x14ac:dyDescent="0.25">
      <c r="AU775" s="1">
        <v>773</v>
      </c>
    </row>
    <row r="776" spans="47:47" x14ac:dyDescent="0.25">
      <c r="AU776" s="1">
        <v>774</v>
      </c>
    </row>
    <row r="777" spans="47:47" x14ac:dyDescent="0.25">
      <c r="AU777" s="1">
        <v>775</v>
      </c>
    </row>
    <row r="778" spans="47:47" x14ac:dyDescent="0.25">
      <c r="AU778" s="1">
        <v>776</v>
      </c>
    </row>
    <row r="779" spans="47:47" x14ac:dyDescent="0.25">
      <c r="AU779" s="1">
        <v>777</v>
      </c>
    </row>
    <row r="780" spans="47:47" x14ac:dyDescent="0.25">
      <c r="AU780" s="1">
        <v>778</v>
      </c>
    </row>
    <row r="781" spans="47:47" x14ac:dyDescent="0.25">
      <c r="AU781" s="1">
        <v>779</v>
      </c>
    </row>
    <row r="782" spans="47:47" x14ac:dyDescent="0.25">
      <c r="AU782" s="1">
        <v>780</v>
      </c>
    </row>
    <row r="783" spans="47:47" x14ac:dyDescent="0.25">
      <c r="AU783" s="1">
        <v>781</v>
      </c>
    </row>
    <row r="784" spans="47:47" x14ac:dyDescent="0.25">
      <c r="AU784" s="1">
        <v>782</v>
      </c>
    </row>
    <row r="785" spans="47:47" x14ac:dyDescent="0.25">
      <c r="AU785" s="1">
        <v>783</v>
      </c>
    </row>
    <row r="786" spans="47:47" x14ac:dyDescent="0.25">
      <c r="AU786" s="1">
        <v>784</v>
      </c>
    </row>
    <row r="787" spans="47:47" x14ac:dyDescent="0.25">
      <c r="AU787" s="1">
        <v>785</v>
      </c>
    </row>
    <row r="788" spans="47:47" x14ac:dyDescent="0.25">
      <c r="AU788" s="1">
        <v>786</v>
      </c>
    </row>
    <row r="789" spans="47:47" x14ac:dyDescent="0.25">
      <c r="AU789" s="1">
        <v>787</v>
      </c>
    </row>
    <row r="790" spans="47:47" x14ac:dyDescent="0.25">
      <c r="AU790" s="1">
        <v>788</v>
      </c>
    </row>
    <row r="791" spans="47:47" x14ac:dyDescent="0.25">
      <c r="AU791" s="1">
        <v>789</v>
      </c>
    </row>
    <row r="792" spans="47:47" x14ac:dyDescent="0.25">
      <c r="AU792" s="1">
        <v>790</v>
      </c>
    </row>
    <row r="793" spans="47:47" x14ac:dyDescent="0.25">
      <c r="AU793" s="1">
        <v>791</v>
      </c>
    </row>
    <row r="794" spans="47:47" x14ac:dyDescent="0.25">
      <c r="AU794" s="1">
        <v>792</v>
      </c>
    </row>
    <row r="795" spans="47:47" x14ac:dyDescent="0.25">
      <c r="AU795" s="1">
        <v>793</v>
      </c>
    </row>
    <row r="796" spans="47:47" x14ac:dyDescent="0.25">
      <c r="AU796" s="1">
        <v>794</v>
      </c>
    </row>
    <row r="797" spans="47:47" x14ac:dyDescent="0.25">
      <c r="AU797" s="1">
        <v>795</v>
      </c>
    </row>
    <row r="798" spans="47:47" x14ac:dyDescent="0.25">
      <c r="AU798" s="1">
        <v>796</v>
      </c>
    </row>
    <row r="799" spans="47:47" x14ac:dyDescent="0.25">
      <c r="AU799" s="1">
        <v>797</v>
      </c>
    </row>
    <row r="800" spans="47:47" x14ac:dyDescent="0.25">
      <c r="AU800" s="1">
        <v>798</v>
      </c>
    </row>
    <row r="801" spans="47:47" x14ac:dyDescent="0.25">
      <c r="AU801" s="1">
        <v>799</v>
      </c>
    </row>
    <row r="802" spans="47:47" x14ac:dyDescent="0.25">
      <c r="AU802" s="1">
        <v>800</v>
      </c>
    </row>
    <row r="803" spans="47:47" x14ac:dyDescent="0.25">
      <c r="AU803" s="1">
        <v>801</v>
      </c>
    </row>
    <row r="804" spans="47:47" x14ac:dyDescent="0.25">
      <c r="AU804" s="1">
        <v>802</v>
      </c>
    </row>
    <row r="805" spans="47:47" x14ac:dyDescent="0.25">
      <c r="AU805" s="1">
        <v>803</v>
      </c>
    </row>
    <row r="806" spans="47:47" x14ac:dyDescent="0.25">
      <c r="AU806" s="1">
        <v>804</v>
      </c>
    </row>
    <row r="807" spans="47:47" x14ac:dyDescent="0.25">
      <c r="AU807" s="1">
        <v>805</v>
      </c>
    </row>
    <row r="808" spans="47:47" x14ac:dyDescent="0.25">
      <c r="AU808" s="1">
        <v>806</v>
      </c>
    </row>
    <row r="809" spans="47:47" x14ac:dyDescent="0.25">
      <c r="AU809" s="1">
        <v>807</v>
      </c>
    </row>
    <row r="810" spans="47:47" x14ac:dyDescent="0.25">
      <c r="AU810" s="1">
        <v>808</v>
      </c>
    </row>
    <row r="811" spans="47:47" x14ac:dyDescent="0.25">
      <c r="AU811" s="1">
        <v>809</v>
      </c>
    </row>
    <row r="812" spans="47:47" x14ac:dyDescent="0.25">
      <c r="AU812" s="1">
        <v>810</v>
      </c>
    </row>
    <row r="813" spans="47:47" x14ac:dyDescent="0.25">
      <c r="AU813" s="1">
        <v>811</v>
      </c>
    </row>
    <row r="814" spans="47:47" x14ac:dyDescent="0.25">
      <c r="AU814" s="1">
        <v>812</v>
      </c>
    </row>
    <row r="815" spans="47:47" x14ac:dyDescent="0.25">
      <c r="AU815" s="1">
        <v>813</v>
      </c>
    </row>
    <row r="816" spans="47:47" x14ac:dyDescent="0.25">
      <c r="AU816" s="1">
        <v>814</v>
      </c>
    </row>
    <row r="817" spans="47:47" x14ac:dyDescent="0.25">
      <c r="AU817" s="1">
        <v>815</v>
      </c>
    </row>
    <row r="818" spans="47:47" x14ac:dyDescent="0.25">
      <c r="AU818" s="1">
        <v>816</v>
      </c>
    </row>
    <row r="819" spans="47:47" x14ac:dyDescent="0.25">
      <c r="AU819" s="1">
        <v>817</v>
      </c>
    </row>
    <row r="820" spans="47:47" x14ac:dyDescent="0.25">
      <c r="AU820" s="1">
        <v>818</v>
      </c>
    </row>
    <row r="821" spans="47:47" x14ac:dyDescent="0.25">
      <c r="AU821" s="1">
        <v>819</v>
      </c>
    </row>
    <row r="822" spans="47:47" x14ac:dyDescent="0.25">
      <c r="AU822" s="1">
        <v>820</v>
      </c>
    </row>
    <row r="823" spans="47:47" x14ac:dyDescent="0.25">
      <c r="AU823" s="1">
        <v>821</v>
      </c>
    </row>
    <row r="824" spans="47:47" x14ac:dyDescent="0.25">
      <c r="AU824" s="1">
        <v>822</v>
      </c>
    </row>
    <row r="825" spans="47:47" x14ac:dyDescent="0.25">
      <c r="AU825" s="1">
        <v>823</v>
      </c>
    </row>
    <row r="826" spans="47:47" x14ac:dyDescent="0.25">
      <c r="AU826" s="1">
        <v>824</v>
      </c>
    </row>
    <row r="827" spans="47:47" x14ac:dyDescent="0.25">
      <c r="AU827" s="1">
        <v>825</v>
      </c>
    </row>
    <row r="828" spans="47:47" x14ac:dyDescent="0.25">
      <c r="AU828" s="1">
        <v>826</v>
      </c>
    </row>
    <row r="829" spans="47:47" x14ac:dyDescent="0.25">
      <c r="AU829" s="1">
        <v>827</v>
      </c>
    </row>
    <row r="830" spans="47:47" x14ac:dyDescent="0.25">
      <c r="AU830" s="1">
        <v>828</v>
      </c>
    </row>
    <row r="831" spans="47:47" x14ac:dyDescent="0.25">
      <c r="AU831" s="1">
        <v>829</v>
      </c>
    </row>
    <row r="832" spans="47:47" x14ac:dyDescent="0.25">
      <c r="AU832" s="1">
        <v>830</v>
      </c>
    </row>
    <row r="833" spans="47:47" x14ac:dyDescent="0.25">
      <c r="AU833" s="1">
        <v>831</v>
      </c>
    </row>
    <row r="834" spans="47:47" x14ac:dyDescent="0.25">
      <c r="AU834" s="1">
        <v>832</v>
      </c>
    </row>
    <row r="835" spans="47:47" x14ac:dyDescent="0.25">
      <c r="AU835" s="1">
        <v>833</v>
      </c>
    </row>
    <row r="836" spans="47:47" x14ac:dyDescent="0.25">
      <c r="AU836" s="1">
        <v>834</v>
      </c>
    </row>
    <row r="837" spans="47:47" x14ac:dyDescent="0.25">
      <c r="AU837" s="1">
        <v>835</v>
      </c>
    </row>
    <row r="838" spans="47:47" x14ac:dyDescent="0.25">
      <c r="AU838" s="1">
        <v>836</v>
      </c>
    </row>
    <row r="839" spans="47:47" x14ac:dyDescent="0.25">
      <c r="AU839" s="1">
        <v>837</v>
      </c>
    </row>
    <row r="840" spans="47:47" x14ac:dyDescent="0.25">
      <c r="AU840" s="1">
        <v>838</v>
      </c>
    </row>
    <row r="841" spans="47:47" x14ac:dyDescent="0.25">
      <c r="AU841" s="1">
        <v>839</v>
      </c>
    </row>
    <row r="842" spans="47:47" x14ac:dyDescent="0.25">
      <c r="AU842" s="1">
        <v>840</v>
      </c>
    </row>
    <row r="843" spans="47:47" x14ac:dyDescent="0.25">
      <c r="AU843" s="1">
        <v>841</v>
      </c>
    </row>
    <row r="844" spans="47:47" x14ac:dyDescent="0.25">
      <c r="AU844" s="1">
        <v>842</v>
      </c>
    </row>
    <row r="845" spans="47:47" x14ac:dyDescent="0.25">
      <c r="AU845" s="1">
        <v>843</v>
      </c>
    </row>
    <row r="846" spans="47:47" x14ac:dyDescent="0.25">
      <c r="AU846" s="1">
        <v>844</v>
      </c>
    </row>
    <row r="847" spans="47:47" x14ac:dyDescent="0.25">
      <c r="AU847" s="1">
        <v>845</v>
      </c>
    </row>
    <row r="848" spans="47:47" x14ac:dyDescent="0.25">
      <c r="AU848" s="1">
        <v>846</v>
      </c>
    </row>
    <row r="849" spans="47:47" x14ac:dyDescent="0.25">
      <c r="AU849" s="1">
        <v>847</v>
      </c>
    </row>
    <row r="850" spans="47:47" x14ac:dyDescent="0.25">
      <c r="AU850" s="1">
        <v>848</v>
      </c>
    </row>
    <row r="851" spans="47:47" x14ac:dyDescent="0.25">
      <c r="AU851" s="1">
        <v>849</v>
      </c>
    </row>
    <row r="852" spans="47:47" x14ac:dyDescent="0.25">
      <c r="AU852" s="1">
        <v>850</v>
      </c>
    </row>
    <row r="853" spans="47:47" x14ac:dyDescent="0.25">
      <c r="AU853" s="1">
        <v>851</v>
      </c>
    </row>
    <row r="854" spans="47:47" x14ac:dyDescent="0.25">
      <c r="AU854" s="1">
        <v>852</v>
      </c>
    </row>
    <row r="855" spans="47:47" x14ac:dyDescent="0.25">
      <c r="AU855" s="1">
        <v>853</v>
      </c>
    </row>
    <row r="856" spans="47:47" x14ac:dyDescent="0.25">
      <c r="AU856" s="1">
        <v>854</v>
      </c>
    </row>
    <row r="857" spans="47:47" x14ac:dyDescent="0.25">
      <c r="AU857" s="1">
        <v>855</v>
      </c>
    </row>
    <row r="858" spans="47:47" x14ac:dyDescent="0.25">
      <c r="AU858" s="1">
        <v>856</v>
      </c>
    </row>
    <row r="859" spans="47:47" x14ac:dyDescent="0.25">
      <c r="AU859" s="1">
        <v>857</v>
      </c>
    </row>
    <row r="860" spans="47:47" x14ac:dyDescent="0.25">
      <c r="AU860" s="1">
        <v>858</v>
      </c>
    </row>
    <row r="861" spans="47:47" x14ac:dyDescent="0.25">
      <c r="AU861" s="1">
        <v>859</v>
      </c>
    </row>
    <row r="862" spans="47:47" x14ac:dyDescent="0.25">
      <c r="AU862" s="1">
        <v>860</v>
      </c>
    </row>
    <row r="863" spans="47:47" x14ac:dyDescent="0.25">
      <c r="AU863" s="1">
        <v>861</v>
      </c>
    </row>
    <row r="864" spans="47:47" x14ac:dyDescent="0.25">
      <c r="AU864" s="1">
        <v>862</v>
      </c>
    </row>
    <row r="865" spans="47:47" x14ac:dyDescent="0.25">
      <c r="AU865" s="1">
        <v>863</v>
      </c>
    </row>
    <row r="866" spans="47:47" x14ac:dyDescent="0.25">
      <c r="AU866" s="1">
        <v>864</v>
      </c>
    </row>
    <row r="867" spans="47:47" x14ac:dyDescent="0.25">
      <c r="AU867" s="1">
        <v>865</v>
      </c>
    </row>
    <row r="868" spans="47:47" x14ac:dyDescent="0.25">
      <c r="AU868" s="1">
        <v>866</v>
      </c>
    </row>
    <row r="869" spans="47:47" x14ac:dyDescent="0.25">
      <c r="AU869" s="1">
        <v>867</v>
      </c>
    </row>
    <row r="870" spans="47:47" x14ac:dyDescent="0.25">
      <c r="AU870" s="1">
        <v>868</v>
      </c>
    </row>
    <row r="871" spans="47:47" x14ac:dyDescent="0.25">
      <c r="AU871" s="1">
        <v>869</v>
      </c>
    </row>
    <row r="872" spans="47:47" x14ac:dyDescent="0.25">
      <c r="AU872" s="1">
        <v>870</v>
      </c>
    </row>
    <row r="873" spans="47:47" x14ac:dyDescent="0.25">
      <c r="AU873" s="1">
        <v>871</v>
      </c>
    </row>
    <row r="874" spans="47:47" x14ac:dyDescent="0.25">
      <c r="AU874" s="1">
        <v>872</v>
      </c>
    </row>
    <row r="875" spans="47:47" x14ac:dyDescent="0.25">
      <c r="AU875" s="1">
        <v>873</v>
      </c>
    </row>
    <row r="876" spans="47:47" x14ac:dyDescent="0.25">
      <c r="AU876" s="1">
        <v>874</v>
      </c>
    </row>
    <row r="877" spans="47:47" x14ac:dyDescent="0.25">
      <c r="AU877" s="1">
        <v>875</v>
      </c>
    </row>
    <row r="878" spans="47:47" x14ac:dyDescent="0.25">
      <c r="AU878" s="1">
        <v>876</v>
      </c>
    </row>
    <row r="879" spans="47:47" x14ac:dyDescent="0.25">
      <c r="AU879" s="1">
        <v>877</v>
      </c>
    </row>
    <row r="880" spans="47:47" x14ac:dyDescent="0.25">
      <c r="AU880" s="1">
        <v>878</v>
      </c>
    </row>
    <row r="881" spans="47:47" x14ac:dyDescent="0.25">
      <c r="AU881" s="1">
        <v>879</v>
      </c>
    </row>
    <row r="882" spans="47:47" x14ac:dyDescent="0.25">
      <c r="AU882" s="1">
        <v>880</v>
      </c>
    </row>
    <row r="883" spans="47:47" x14ac:dyDescent="0.25">
      <c r="AU883" s="1">
        <v>881</v>
      </c>
    </row>
    <row r="884" spans="47:47" x14ac:dyDescent="0.25">
      <c r="AU884" s="1">
        <v>882</v>
      </c>
    </row>
    <row r="885" spans="47:47" x14ac:dyDescent="0.25">
      <c r="AU885" s="1">
        <v>883</v>
      </c>
    </row>
    <row r="886" spans="47:47" x14ac:dyDescent="0.25">
      <c r="AU886" s="1">
        <v>884</v>
      </c>
    </row>
    <row r="887" spans="47:47" x14ac:dyDescent="0.25">
      <c r="AU887" s="1">
        <v>885</v>
      </c>
    </row>
    <row r="888" spans="47:47" x14ac:dyDescent="0.25">
      <c r="AU888" s="1">
        <v>886</v>
      </c>
    </row>
    <row r="889" spans="47:47" x14ac:dyDescent="0.25">
      <c r="AU889" s="1">
        <v>887</v>
      </c>
    </row>
    <row r="890" spans="47:47" x14ac:dyDescent="0.25">
      <c r="AU890" s="1">
        <v>888</v>
      </c>
    </row>
    <row r="891" spans="47:47" x14ac:dyDescent="0.25">
      <c r="AU891" s="1">
        <v>889</v>
      </c>
    </row>
    <row r="892" spans="47:47" x14ac:dyDescent="0.25">
      <c r="AU892" s="1">
        <v>890</v>
      </c>
    </row>
    <row r="893" spans="47:47" x14ac:dyDescent="0.25">
      <c r="AU893" s="1">
        <v>891</v>
      </c>
    </row>
    <row r="894" spans="47:47" x14ac:dyDescent="0.25">
      <c r="AU894" s="1">
        <v>892</v>
      </c>
    </row>
    <row r="895" spans="47:47" x14ac:dyDescent="0.25">
      <c r="AU895" s="1">
        <v>893</v>
      </c>
    </row>
    <row r="896" spans="47:47" x14ac:dyDescent="0.25">
      <c r="AU896" s="1">
        <v>894</v>
      </c>
    </row>
    <row r="897" spans="47:47" x14ac:dyDescent="0.25">
      <c r="AU897" s="1">
        <v>895</v>
      </c>
    </row>
    <row r="898" spans="47:47" x14ac:dyDescent="0.25">
      <c r="AU898" s="1">
        <v>896</v>
      </c>
    </row>
    <row r="899" spans="47:47" x14ac:dyDescent="0.25">
      <c r="AU899" s="1">
        <v>897</v>
      </c>
    </row>
    <row r="900" spans="47:47" x14ac:dyDescent="0.25">
      <c r="AU900" s="1">
        <v>898</v>
      </c>
    </row>
    <row r="901" spans="47:47" x14ac:dyDescent="0.25">
      <c r="AU901" s="1">
        <v>899</v>
      </c>
    </row>
    <row r="902" spans="47:47" x14ac:dyDescent="0.25">
      <c r="AU902" s="1">
        <v>900</v>
      </c>
    </row>
    <row r="903" spans="47:47" x14ac:dyDescent="0.25">
      <c r="AU903" s="1">
        <v>901</v>
      </c>
    </row>
    <row r="904" spans="47:47" x14ac:dyDescent="0.25">
      <c r="AU904" s="1">
        <v>902</v>
      </c>
    </row>
    <row r="905" spans="47:47" x14ac:dyDescent="0.25">
      <c r="AU905" s="1">
        <v>903</v>
      </c>
    </row>
    <row r="906" spans="47:47" x14ac:dyDescent="0.25">
      <c r="AU906" s="1">
        <v>904</v>
      </c>
    </row>
    <row r="907" spans="47:47" x14ac:dyDescent="0.25">
      <c r="AU907" s="1">
        <v>905</v>
      </c>
    </row>
    <row r="908" spans="47:47" x14ac:dyDescent="0.25">
      <c r="AU908" s="1">
        <v>906</v>
      </c>
    </row>
    <row r="909" spans="47:47" x14ac:dyDescent="0.25">
      <c r="AU909" s="1">
        <v>907</v>
      </c>
    </row>
    <row r="910" spans="47:47" x14ac:dyDescent="0.25">
      <c r="AU910" s="1">
        <v>908</v>
      </c>
    </row>
    <row r="911" spans="47:47" x14ac:dyDescent="0.25">
      <c r="AU911" s="1">
        <v>909</v>
      </c>
    </row>
    <row r="912" spans="47:47" x14ac:dyDescent="0.25">
      <c r="AU912" s="1">
        <v>910</v>
      </c>
    </row>
    <row r="913" spans="47:47" x14ac:dyDescent="0.25">
      <c r="AU913" s="1">
        <v>911</v>
      </c>
    </row>
    <row r="914" spans="47:47" x14ac:dyDescent="0.25">
      <c r="AU914" s="1">
        <v>912</v>
      </c>
    </row>
    <row r="915" spans="47:47" x14ac:dyDescent="0.25">
      <c r="AU915" s="1">
        <v>913</v>
      </c>
    </row>
    <row r="916" spans="47:47" x14ac:dyDescent="0.25">
      <c r="AU916" s="1">
        <v>914</v>
      </c>
    </row>
    <row r="917" spans="47:47" x14ac:dyDescent="0.25">
      <c r="AU917" s="1">
        <v>915</v>
      </c>
    </row>
    <row r="918" spans="47:47" x14ac:dyDescent="0.25">
      <c r="AU918" s="1">
        <v>916</v>
      </c>
    </row>
    <row r="919" spans="47:47" x14ac:dyDescent="0.25">
      <c r="AU919" s="1">
        <v>917</v>
      </c>
    </row>
    <row r="920" spans="47:47" x14ac:dyDescent="0.25">
      <c r="AU920" s="1">
        <v>918</v>
      </c>
    </row>
    <row r="921" spans="47:47" x14ac:dyDescent="0.25">
      <c r="AU921" s="1">
        <v>919</v>
      </c>
    </row>
    <row r="922" spans="47:47" x14ac:dyDescent="0.25">
      <c r="AU922" s="1">
        <v>920</v>
      </c>
    </row>
    <row r="923" spans="47:47" x14ac:dyDescent="0.25">
      <c r="AU923" s="1">
        <v>921</v>
      </c>
    </row>
    <row r="924" spans="47:47" x14ac:dyDescent="0.25">
      <c r="AU924" s="1">
        <v>922</v>
      </c>
    </row>
    <row r="925" spans="47:47" x14ac:dyDescent="0.25">
      <c r="AU925" s="1">
        <v>923</v>
      </c>
    </row>
    <row r="926" spans="47:47" x14ac:dyDescent="0.25">
      <c r="AU926" s="1">
        <v>924</v>
      </c>
    </row>
    <row r="927" spans="47:47" x14ac:dyDescent="0.25">
      <c r="AU927" s="1">
        <v>925</v>
      </c>
    </row>
    <row r="928" spans="47:47" x14ac:dyDescent="0.25">
      <c r="AU928" s="1">
        <v>926</v>
      </c>
    </row>
    <row r="929" spans="47:47" x14ac:dyDescent="0.25">
      <c r="AU929" s="1">
        <v>927</v>
      </c>
    </row>
    <row r="930" spans="47:47" x14ac:dyDescent="0.25">
      <c r="AU930" s="1">
        <v>928</v>
      </c>
    </row>
    <row r="931" spans="47:47" x14ac:dyDescent="0.25">
      <c r="AU931" s="1">
        <v>929</v>
      </c>
    </row>
    <row r="932" spans="47:47" x14ac:dyDescent="0.25">
      <c r="AU932" s="1">
        <v>930</v>
      </c>
    </row>
    <row r="933" spans="47:47" x14ac:dyDescent="0.25">
      <c r="AU933" s="1">
        <v>931</v>
      </c>
    </row>
    <row r="934" spans="47:47" x14ac:dyDescent="0.25">
      <c r="AU934" s="1">
        <v>932</v>
      </c>
    </row>
    <row r="935" spans="47:47" x14ac:dyDescent="0.25">
      <c r="AU935" s="1">
        <v>933</v>
      </c>
    </row>
    <row r="936" spans="47:47" x14ac:dyDescent="0.25">
      <c r="AU936" s="1">
        <v>934</v>
      </c>
    </row>
    <row r="937" spans="47:47" x14ac:dyDescent="0.25">
      <c r="AU937" s="1">
        <v>935</v>
      </c>
    </row>
    <row r="938" spans="47:47" x14ac:dyDescent="0.25">
      <c r="AU938" s="1">
        <v>936</v>
      </c>
    </row>
    <row r="939" spans="47:47" x14ac:dyDescent="0.25">
      <c r="AU939" s="1">
        <v>937</v>
      </c>
    </row>
    <row r="940" spans="47:47" x14ac:dyDescent="0.25">
      <c r="AU940" s="1">
        <v>938</v>
      </c>
    </row>
    <row r="941" spans="47:47" x14ac:dyDescent="0.25">
      <c r="AU941" s="1">
        <v>939</v>
      </c>
    </row>
    <row r="942" spans="47:47" x14ac:dyDescent="0.25">
      <c r="AU942" s="1">
        <v>940</v>
      </c>
    </row>
    <row r="943" spans="47:47" x14ac:dyDescent="0.25">
      <c r="AU943" s="1">
        <v>941</v>
      </c>
    </row>
    <row r="944" spans="47:47" x14ac:dyDescent="0.25">
      <c r="AU944" s="1">
        <v>942</v>
      </c>
    </row>
    <row r="945" spans="47:47" x14ac:dyDescent="0.25">
      <c r="AU945" s="1">
        <v>943</v>
      </c>
    </row>
    <row r="946" spans="47:47" x14ac:dyDescent="0.25">
      <c r="AU946" s="1">
        <v>944</v>
      </c>
    </row>
    <row r="947" spans="47:47" x14ac:dyDescent="0.25">
      <c r="AU947" s="1">
        <v>945</v>
      </c>
    </row>
    <row r="948" spans="47:47" x14ac:dyDescent="0.25">
      <c r="AU948" s="1">
        <v>946</v>
      </c>
    </row>
    <row r="949" spans="47:47" x14ac:dyDescent="0.25">
      <c r="AU949" s="1">
        <v>947</v>
      </c>
    </row>
    <row r="950" spans="47:47" x14ac:dyDescent="0.25">
      <c r="AU950" s="1">
        <v>948</v>
      </c>
    </row>
    <row r="951" spans="47:47" x14ac:dyDescent="0.25">
      <c r="AU951" s="1">
        <v>949</v>
      </c>
    </row>
    <row r="952" spans="47:47" x14ac:dyDescent="0.25">
      <c r="AU952" s="1">
        <v>950</v>
      </c>
    </row>
    <row r="953" spans="47:47" x14ac:dyDescent="0.25">
      <c r="AU953" s="1">
        <v>951</v>
      </c>
    </row>
    <row r="954" spans="47:47" x14ac:dyDescent="0.25">
      <c r="AU954" s="1">
        <v>952</v>
      </c>
    </row>
    <row r="955" spans="47:47" x14ac:dyDescent="0.25">
      <c r="AU955" s="1">
        <v>953</v>
      </c>
    </row>
    <row r="956" spans="47:47" x14ac:dyDescent="0.25">
      <c r="AU956" s="1">
        <v>954</v>
      </c>
    </row>
    <row r="957" spans="47:47" x14ac:dyDescent="0.25">
      <c r="AU957" s="1">
        <v>955</v>
      </c>
    </row>
    <row r="958" spans="47:47" x14ac:dyDescent="0.25">
      <c r="AU958" s="1">
        <v>956</v>
      </c>
    </row>
    <row r="959" spans="47:47" x14ac:dyDescent="0.25">
      <c r="AU959" s="1">
        <v>957</v>
      </c>
    </row>
    <row r="960" spans="47:47" x14ac:dyDescent="0.25">
      <c r="AU960" s="1">
        <v>958</v>
      </c>
    </row>
    <row r="961" spans="47:47" x14ac:dyDescent="0.25">
      <c r="AU961" s="1">
        <v>959</v>
      </c>
    </row>
    <row r="962" spans="47:47" x14ac:dyDescent="0.25">
      <c r="AU962" s="1">
        <v>960</v>
      </c>
    </row>
    <row r="963" spans="47:47" x14ac:dyDescent="0.25">
      <c r="AU963" s="1">
        <v>961</v>
      </c>
    </row>
    <row r="964" spans="47:47" x14ac:dyDescent="0.25">
      <c r="AU964" s="1">
        <v>962</v>
      </c>
    </row>
    <row r="965" spans="47:47" x14ac:dyDescent="0.25">
      <c r="AU965" s="1">
        <v>963</v>
      </c>
    </row>
    <row r="966" spans="47:47" x14ac:dyDescent="0.25">
      <c r="AU966" s="1">
        <v>964</v>
      </c>
    </row>
    <row r="967" spans="47:47" x14ac:dyDescent="0.25">
      <c r="AU967" s="1">
        <v>965</v>
      </c>
    </row>
    <row r="968" spans="47:47" x14ac:dyDescent="0.25">
      <c r="AU968" s="1">
        <v>966</v>
      </c>
    </row>
    <row r="969" spans="47:47" x14ac:dyDescent="0.25">
      <c r="AU969" s="1">
        <v>967</v>
      </c>
    </row>
    <row r="970" spans="47:47" x14ac:dyDescent="0.25">
      <c r="AU970" s="1">
        <v>968</v>
      </c>
    </row>
    <row r="971" spans="47:47" x14ac:dyDescent="0.25">
      <c r="AU971" s="1">
        <v>969</v>
      </c>
    </row>
    <row r="972" spans="47:47" x14ac:dyDescent="0.25">
      <c r="AU972" s="1">
        <v>970</v>
      </c>
    </row>
    <row r="973" spans="47:47" x14ac:dyDescent="0.25">
      <c r="AU973" s="1">
        <v>971</v>
      </c>
    </row>
    <row r="974" spans="47:47" x14ac:dyDescent="0.25">
      <c r="AU974" s="1">
        <v>972</v>
      </c>
    </row>
    <row r="975" spans="47:47" x14ac:dyDescent="0.25">
      <c r="AU975" s="1">
        <v>973</v>
      </c>
    </row>
    <row r="976" spans="47:47" x14ac:dyDescent="0.25">
      <c r="AU976" s="1">
        <v>974</v>
      </c>
    </row>
    <row r="977" spans="47:47" x14ac:dyDescent="0.25">
      <c r="AU977" s="1">
        <v>975</v>
      </c>
    </row>
    <row r="978" spans="47:47" x14ac:dyDescent="0.25">
      <c r="AU978" s="1">
        <v>976</v>
      </c>
    </row>
    <row r="979" spans="47:47" x14ac:dyDescent="0.25">
      <c r="AU979" s="1">
        <v>977</v>
      </c>
    </row>
    <row r="980" spans="47:47" x14ac:dyDescent="0.25">
      <c r="AU980" s="1">
        <v>978</v>
      </c>
    </row>
    <row r="981" spans="47:47" x14ac:dyDescent="0.25">
      <c r="AU981" s="1">
        <v>979</v>
      </c>
    </row>
    <row r="982" spans="47:47" x14ac:dyDescent="0.25">
      <c r="AU982" s="1">
        <v>980</v>
      </c>
    </row>
    <row r="983" spans="47:47" x14ac:dyDescent="0.25">
      <c r="AU983" s="1">
        <v>981</v>
      </c>
    </row>
    <row r="984" spans="47:47" x14ac:dyDescent="0.25">
      <c r="AU984" s="1">
        <v>982</v>
      </c>
    </row>
    <row r="985" spans="47:47" x14ac:dyDescent="0.25">
      <c r="AU985" s="1">
        <v>983</v>
      </c>
    </row>
    <row r="986" spans="47:47" x14ac:dyDescent="0.25">
      <c r="AU986" s="1">
        <v>984</v>
      </c>
    </row>
    <row r="987" spans="47:47" x14ac:dyDescent="0.25">
      <c r="AU987" s="1">
        <v>985</v>
      </c>
    </row>
    <row r="988" spans="47:47" x14ac:dyDescent="0.25">
      <c r="AU988" s="1">
        <v>986</v>
      </c>
    </row>
    <row r="989" spans="47:47" x14ac:dyDescent="0.25">
      <c r="AU989" s="1">
        <v>987</v>
      </c>
    </row>
    <row r="990" spans="47:47" x14ac:dyDescent="0.25">
      <c r="AU990" s="1">
        <v>988</v>
      </c>
    </row>
    <row r="991" spans="47:47" x14ac:dyDescent="0.25">
      <c r="AU991" s="1">
        <v>989</v>
      </c>
    </row>
    <row r="992" spans="47:47" x14ac:dyDescent="0.25">
      <c r="AU992" s="1">
        <v>990</v>
      </c>
    </row>
    <row r="993" spans="47:47" x14ac:dyDescent="0.25">
      <c r="AU993" s="1">
        <v>991</v>
      </c>
    </row>
    <row r="994" spans="47:47" x14ac:dyDescent="0.25">
      <c r="AU994" s="1">
        <v>992</v>
      </c>
    </row>
    <row r="995" spans="47:47" x14ac:dyDescent="0.25">
      <c r="AU995" s="1">
        <v>993</v>
      </c>
    </row>
    <row r="996" spans="47:47" x14ac:dyDescent="0.25">
      <c r="AU996" s="1">
        <v>994</v>
      </c>
    </row>
    <row r="997" spans="47:47" x14ac:dyDescent="0.25">
      <c r="AU997" s="1">
        <v>995</v>
      </c>
    </row>
    <row r="998" spans="47:47" x14ac:dyDescent="0.25">
      <c r="AU998" s="1">
        <v>996</v>
      </c>
    </row>
    <row r="999" spans="47:47" x14ac:dyDescent="0.25">
      <c r="AU999" s="1">
        <v>997</v>
      </c>
    </row>
    <row r="1000" spans="47:47" x14ac:dyDescent="0.25">
      <c r="AU1000" s="1">
        <v>998</v>
      </c>
    </row>
    <row r="1001" spans="47:47" x14ac:dyDescent="0.25">
      <c r="AU1001" s="1">
        <v>999</v>
      </c>
    </row>
    <row r="1002" spans="47:47" x14ac:dyDescent="0.25">
      <c r="AU1002" s="1">
        <v>1000</v>
      </c>
    </row>
  </sheetData>
  <sheetProtection algorithmName="SHA-512" hashValue="G2SiKscDMH4Z9Xkg1rXkpyojwQ4jy+Wth8GJ2a+EXX8LGF/Kki6fuN6aVOMXfkHAFrIGUSTmTByd/d56S9pcIg==" saltValue="qAszzXhvmX9JhhSCA8UldA==" spinCount="100000" sheet="1" objects="1" scenarios="1"/>
  <mergeCells count="57">
    <mergeCell ref="H12:J12"/>
    <mergeCell ref="H4:J4"/>
    <mergeCell ref="H5:J5"/>
    <mergeCell ref="H17:J17"/>
    <mergeCell ref="H16:J16"/>
    <mergeCell ref="C14:K14"/>
    <mergeCell ref="C13:F13"/>
    <mergeCell ref="G13:J13"/>
    <mergeCell ref="C11:F11"/>
    <mergeCell ref="C12:F12"/>
    <mergeCell ref="C15:F15"/>
    <mergeCell ref="C16:F16"/>
    <mergeCell ref="C17:F17"/>
    <mergeCell ref="H39:J39"/>
    <mergeCell ref="H38:J38"/>
    <mergeCell ref="H21:J21"/>
    <mergeCell ref="H20:J20"/>
    <mergeCell ref="H26:J26"/>
    <mergeCell ref="H27:J27"/>
    <mergeCell ref="H29:J29"/>
    <mergeCell ref="H28:J28"/>
    <mergeCell ref="H37:J37"/>
    <mergeCell ref="H36:J36"/>
    <mergeCell ref="H35:J35"/>
    <mergeCell ref="H30:J30"/>
    <mergeCell ref="H25:J25"/>
    <mergeCell ref="H34:J34"/>
    <mergeCell ref="C34:F34"/>
    <mergeCell ref="C33:F33"/>
    <mergeCell ref="C24:F24"/>
    <mergeCell ref="C25:F25"/>
    <mergeCell ref="C26:F26"/>
    <mergeCell ref="C27:F27"/>
    <mergeCell ref="C28:F28"/>
    <mergeCell ref="C29:F29"/>
    <mergeCell ref="C32:K32"/>
    <mergeCell ref="C30:F30"/>
    <mergeCell ref="C39:F39"/>
    <mergeCell ref="C38:F38"/>
    <mergeCell ref="C37:F37"/>
    <mergeCell ref="C36:F36"/>
    <mergeCell ref="C35:F35"/>
    <mergeCell ref="B3:L3"/>
    <mergeCell ref="C7:K7"/>
    <mergeCell ref="C8:F8"/>
    <mergeCell ref="C9:F9"/>
    <mergeCell ref="C10:F10"/>
    <mergeCell ref="C4:F4"/>
    <mergeCell ref="C5:F5"/>
    <mergeCell ref="H8:J8"/>
    <mergeCell ref="C18:F18"/>
    <mergeCell ref="C19:F19"/>
    <mergeCell ref="C20:F20"/>
    <mergeCell ref="C21:F21"/>
    <mergeCell ref="C23:K23"/>
    <mergeCell ref="H18:J18"/>
    <mergeCell ref="H19:J19"/>
  </mergeCells>
  <pageMargins left="0.7" right="0.7" top="0.75" bottom="0.75" header="0.3" footer="0.3"/>
  <pageSetup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Jérémie</dc:creator>
  <cp:lastModifiedBy>Jérémie</cp:lastModifiedBy>
  <dcterms:created xsi:type="dcterms:W3CDTF">2022-03-04T03:31:07Z</dcterms:created>
  <dcterms:modified xsi:type="dcterms:W3CDTF">2022-03-31T14:21:03Z</dcterms:modified>
</cp:coreProperties>
</file>